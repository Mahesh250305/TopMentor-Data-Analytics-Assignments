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426"/>
  <workbookPr defaultThemeVersion="166925"/>
  <bookViews>
    <workbookView xWindow="-108" yWindow="-108" windowWidth="23256" windowHeight="12456" activeTab="1"/>
  </bookViews>
  <sheets>
    <sheet name="Assignment_Data7 to 10" sheetId="1" r:id="rId1"/>
    <sheet name="PIVOT TABLES " sheetId="2" r:id="rId2"/>
  </sheets>
  <definedNames>
    <definedName name="_xlchart.v1.0" hidden="1">'Assignment_Data7 to 10'!$E$2:$E$101</definedName>
    <definedName name="_xlchart.v1.1" hidden="1">'Assignment_Data7 to 10'!$E$2:$E$101</definedName>
  </definedNames>
  <calcPr calcId="191029"/>
  <pivotCaches>
    <pivotCache cacheId="14" r:id="rId3"/>
    <pivotCache cacheId="27" r:id="rId4"/>
  </pivotCaches>
</workbook>
</file>

<file path=xl/sharedStrings.xml><?xml version="1.0" encoding="utf-8"?>
<sst xmlns="http://schemas.openxmlformats.org/spreadsheetml/2006/main" uniqueCount="116" count="116">
  <si>
    <t>Age</t>
  </si>
  <si>
    <t>Salary</t>
  </si>
  <si>
    <t>Purchase_Count</t>
  </si>
  <si>
    <t>Satisfaction_Score</t>
  </si>
  <si>
    <t>Visit_Frequency</t>
  </si>
  <si>
    <t>Calculate the mean, median, and mode of 'Age'.</t>
  </si>
  <si>
    <t>Find the standard deviation and variance of 'Salary'.</t>
  </si>
  <si>
    <t>What is the correlation between 'Salary' and 'Satisfaction_Score'?</t>
  </si>
  <si>
    <t>Get the summary statistics (count, mean, std, min, 25%, 50%, 75%, max) for every column.</t>
  </si>
  <si>
    <t>Plot the histogram of 'Visit_Frequency' and comment on its skewness.</t>
  </si>
  <si>
    <t>Identify if 'Satisfaction_Score' has any outliers using standard deviation method.</t>
  </si>
  <si>
    <t>Calculate the coefficient of variation for 'Salary'.</t>
  </si>
  <si>
    <t>Find the interquartile range (IQR) for 'Purchase_Count'.</t>
  </si>
  <si>
    <t>Compute the Pearson correlation matrix for the entire dataset.</t>
  </si>
  <si>
    <t>Calculate the range (max - min) for the 'Age' and 'Salary' columns.</t>
  </si>
  <si>
    <t>Determine the percentile ranks for 'Purchase_Count' at 25%, 50%, and 75%.</t>
  </si>
  <si>
    <t>Find the covariance between 'Salary' and 'Visit_Frequency'.</t>
  </si>
  <si>
    <t>Check if 'Salary' follows a normal distribution using skewness and kurtosis values.</t>
  </si>
  <si>
    <t>Calculate the z-scores for 'Satisfaction_Score' and identify any data points beyond ±3.</t>
  </si>
  <si>
    <t>1)</t>
  </si>
  <si>
    <t xml:space="preserve">Mean </t>
  </si>
  <si>
    <t>Median</t>
  </si>
  <si>
    <t>Mode</t>
  </si>
  <si>
    <t>2)</t>
  </si>
  <si>
    <t>Standard Deviation</t>
  </si>
  <si>
    <t>Variance</t>
  </si>
  <si>
    <t>3)</t>
  </si>
  <si>
    <t>Compute the skewness and kurtosis of 'Purchase_Count</t>
  </si>
  <si>
    <t>Skewness</t>
  </si>
  <si>
    <t>Kurtosis</t>
  </si>
  <si>
    <t>4)</t>
  </si>
  <si>
    <t>COORELATION</t>
  </si>
  <si>
    <t>(The data are fairly symmetrical)</t>
  </si>
  <si>
    <t>(platykurtic)</t>
  </si>
  <si>
    <t>(strong negative)</t>
  </si>
  <si>
    <t>5)</t>
  </si>
  <si>
    <t>Mean</t>
  </si>
  <si>
    <t>Range</t>
  </si>
  <si>
    <t>Minimum</t>
  </si>
  <si>
    <t>Maximum</t>
  </si>
  <si>
    <t>Sum</t>
  </si>
  <si>
    <t>Count</t>
  </si>
  <si>
    <t>AGE</t>
  </si>
  <si>
    <t>SALARY</t>
  </si>
  <si>
    <t xml:space="preserve">PURCHASE </t>
  </si>
  <si>
    <t>SAT_SCORE</t>
  </si>
  <si>
    <t>FREQUENCY</t>
  </si>
  <si>
    <t>6)</t>
  </si>
  <si>
    <t>(POSITVELY SKEWED)</t>
  </si>
  <si>
    <t>7)</t>
  </si>
  <si>
    <t>MEAN</t>
  </si>
  <si>
    <t>STD DEV</t>
  </si>
  <si>
    <t>Z-SCORE FOR SAT_SCORE</t>
  </si>
  <si>
    <t>According to z-score values there are no outliers.</t>
  </si>
  <si>
    <t>8)</t>
  </si>
  <si>
    <t>Coefficient of variation</t>
  </si>
  <si>
    <t>9)</t>
  </si>
  <si>
    <t>Q1</t>
  </si>
  <si>
    <t>Q2</t>
  </si>
  <si>
    <t>Q3</t>
  </si>
  <si>
    <t>IQR</t>
  </si>
  <si>
    <t>10)</t>
  </si>
  <si>
    <t>11)</t>
  </si>
  <si>
    <t>Range for age</t>
  </si>
  <si>
    <t>Range for salary</t>
  </si>
  <si>
    <t>12)</t>
  </si>
  <si>
    <t>FOR 25%</t>
  </si>
  <si>
    <t>FOR 50%</t>
  </si>
  <si>
    <t>FOR 75%</t>
  </si>
  <si>
    <t>13)</t>
  </si>
  <si>
    <t>Covariance</t>
  </si>
  <si>
    <t>14)</t>
  </si>
  <si>
    <t>SKEWNESS</t>
  </si>
  <si>
    <t>KURTOSIS</t>
  </si>
  <si>
    <t>Salary follows a close to normal distribution because skewness value lie between -0.5 to +0.5.</t>
  </si>
  <si>
    <t>kurtosis value indicates a platykurtic distribution,i.e; data is flatter than a normal distribution with lighter tails and fewer extreme values .</t>
  </si>
  <si>
    <t>15)</t>
  </si>
  <si>
    <t>z-score value is calculated in column f for satisfaction score and there is no data points beyond ±3.</t>
  </si>
  <si>
    <t>Row Labels</t>
  </si>
  <si>
    <t>Grand Total</t>
  </si>
  <si>
    <t>18-27</t>
  </si>
  <si>
    <t>28-37</t>
  </si>
  <si>
    <t>38-47</t>
  </si>
  <si>
    <t>48-57</t>
  </si>
  <si>
    <t>58-67</t>
  </si>
  <si>
    <t>18-22</t>
  </si>
  <si>
    <t>23-27</t>
  </si>
  <si>
    <t>28-32</t>
  </si>
  <si>
    <t>33-37</t>
  </si>
  <si>
    <t>38-42</t>
  </si>
  <si>
    <t>43-47</t>
  </si>
  <si>
    <t>48-52</t>
  </si>
  <si>
    <t>53-57</t>
  </si>
  <si>
    <t>58-62</t>
  </si>
  <si>
    <t>63-67</t>
  </si>
  <si>
    <t>Average of Salary</t>
  </si>
  <si>
    <t>Age Groups</t>
  </si>
  <si>
    <t>Create a pivot table to find the average Salary by each Category (group by Age groups if preferred).</t>
  </si>
  <si>
    <t>Use a pivot table to sum the Purchase_Count for each Satisfaction_Score value.</t>
  </si>
  <si>
    <t>Sum of Purchase_Count</t>
  </si>
  <si>
    <t>Sat_Score</t>
  </si>
  <si>
    <t>Build a pivot table to show the count of records per Visit_Frequency value.</t>
  </si>
  <si>
    <t>Visit_frequency</t>
  </si>
  <si>
    <t>Count of Visit_Frequency</t>
  </si>
  <si>
    <t>Generate a pivot table that shows the minimum, maximum, and average Salary per Age group (e.g., 18-25, 26-35, etc.).</t>
  </si>
  <si>
    <t>Average of Salary3</t>
  </si>
  <si>
    <t>Min of Salary</t>
  </si>
  <si>
    <t>Max of Salary2</t>
  </si>
  <si>
    <t>Create a pivot table to display the total Purchase_Count for each distinct Salary range bucket (e.g., 25k-50k, 50k-75k, etc.).</t>
  </si>
  <si>
    <t>25000-49999</t>
  </si>
  <si>
    <t>50000-74999</t>
  </si>
  <si>
    <t>75000-99999</t>
  </si>
  <si>
    <t>100000-124999</t>
  </si>
  <si>
    <t>125000-149999</t>
  </si>
  <si>
    <t>150000-174999</t>
  </si>
  <si>
    <t>175000-200000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</si>
</sst>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Calibri"/>
      <sz val="11"/>
    </font>
    <font>
      <name val="Calibri"/>
      <sz val="11"/>
      <color rgb="FF000000"/>
    </font>
    <font>
      <name val="Calibri"/>
      <i/>
      <sz val="11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Alignment="1">
      <alignment horizontal="right" vertical="bottom"/>
    </xf>
    <xf numFmtId="0" fontId="1" fillId="2" borderId="1" xfId="0" applyFill="1" applyBorder="1" applyAlignment="1">
      <alignment vertical="bottom"/>
    </xf>
    <xf numFmtId="0" fontId="1" fillId="0" borderId="1" xfId="0" applyBorder="1" applyAlignment="1">
      <alignment vertical="bottom"/>
    </xf>
    <xf numFmtId="0" fontId="1" fillId="3" borderId="1" xfId="0" applyFill="1" applyBorder="1" applyAlignment="1">
      <alignment vertical="bottom"/>
    </xf>
    <xf numFmtId="0" fontId="2" fillId="2" borderId="1" xfId="0" applyFont="1" applyFill="1" applyBorder="1" applyAlignment="1">
      <alignment horizontal="center" vertical="bottom"/>
    </xf>
    <xf numFmtId="0" fontId="2" fillId="0" borderId="0" xfId="0" applyFont="1" applyFill="1" applyBorder="1" applyAlignment="1">
      <alignment horizontal="center" vertical="bottom"/>
    </xf>
    <xf numFmtId="0" fontId="1" fillId="0" borderId="0" xfId="0" applyBorder="1" applyAlignment="1">
      <alignment vertical="bottom"/>
    </xf>
    <xf numFmtId="0" fontId="1" fillId="3" borderId="1" xfId="0" applyFill="1" applyBorder="1" applyAlignment="1">
      <alignment vertical="bottom"/>
    </xf>
    <xf numFmtId="0" fontId="1" fillId="0" borderId="1" xfId="0" applyFill="1" applyBorder="1" applyAlignment="1">
      <alignment vertical="bottom"/>
    </xf>
    <xf numFmtId="0" fontId="1" fillId="0" borderId="0" xfId="0" applyFill="1" applyBorder="1" applyAlignment="1">
      <alignment vertical="bottom"/>
    </xf>
    <xf numFmtId="0" fontId="1" fillId="4" borderId="1" xfId="0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0" fontId="2" fillId="3" borderId="1" xfId="0" applyFont="1" applyFill="1" applyBorder="1" applyAlignment="1">
      <alignment horizontal="center" vertical="bottom"/>
    </xf>
    <xf numFmtId="0" fontId="1" fillId="2" borderId="0" xfId="0" applyFill="1" applyAlignment="1">
      <alignment vertical="bottom"/>
    </xf>
    <xf numFmtId="0" fontId="1" fillId="5" borderId="0" xfId="0" applyFill="1" applyAlignment="1">
      <alignment vertical="bottom"/>
    </xf>
    <xf numFmtId="0" fontId="1" fillId="5" borderId="1" xfId="0" applyFill="1" applyBorder="1" applyAlignment="1">
      <alignment vertical="bottom"/>
    </xf>
    <xf numFmtId="0" fontId="1" fillId="0" borderId="1" xfId="0" applyBorder="1" applyAlignment="1">
      <alignment vertical="bottom"/>
    </xf>
    <xf numFmtId="0" fontId="1" fillId="5" borderId="1" xfId="0" applyFill="1" applyBorder="1" applyAlignment="1">
      <alignment horizontal="left" vertical="bottom"/>
    </xf>
    <xf numFmtId="0" fontId="1" fillId="0" borderId="1" xfId="0" applyNumberFormat="1" applyBorder="1" applyAlignment="1">
      <alignment vertical="bottom"/>
    </xf>
    <xf numFmtId="0" fontId="1" fillId="0" borderId="1" xfId="0" applyBorder="1" applyAlignment="1">
      <alignment horizontal="left" vertical="bottom"/>
    </xf>
    <xf numFmtId="0" fontId="1" fillId="3" borderId="1" xfId="0" applyFill="1" applyBorder="1" applyAlignment="1">
      <alignment horizontal="left" vertical="bottom"/>
    </xf>
  </cellXfs>
  <cellStyles count="1">
    <cellStyle name="常规" xfId="0" builtinId="0"/>
  </cellStyles>
  <dxfs count="3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ill>
        <patternFill patternType="solid">
          <bgColor rgb="FFFFC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ill>
        <patternFill patternType="solid">
          <bgColor rgb="FFFFC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ill>
        <patternFill patternType="solid">
          <bgColor rgb="FFFFC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schemas.openxmlformats.org/officeDocument/2006/relationships/pivotCacheDefinition" Target="pivotCache/pivotCacheDefinition2.xml"/><Relationship Id="rId5" Type="http://www.wps.cn/officeDocument/2020/cellImage" Target="cellimages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601144</xdr:colOff>
      <xdr:row>40</xdr:row>
      <xdr:rowOff>0</xdr:rowOff>
    </xdr:from>
    <xdr:to>
      <xdr:col>12</xdr:col>
      <xdr:colOff>250773</xdr:colOff>
      <xdr:row>48</xdr:row>
      <xdr:rowOff>126444</xdr:rowOff>
    </xdr:to>
    <xdr:sp macro="" textlink="">
      <xdr:nvSpPr>
        <xdr:cNvPr id="2" name=" "/>
        <xdr:cNvSpPr/>
      </xdr:nvSpPr>
      <xdr:spPr>
        <a:xfrm>
          <a:off x="8079991" y="7314278"/>
          <a:ext cx="4161266" cy="1589284"/>
        </a:xfr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1" refreshedBy="Ajay Poonia" refreshedDate="46030.66051689815" createdVersion="8" refreshedVersion="8" minRefreshableVersion="3" recordCount="100">
  <cacheSource type="worksheet">
    <worksheetSource ref="A1:B101" sheet="PIVOT TABLES "/>
  </cacheSource>
  <cacheFields count="2">
    <cacheField name="Age" numFmtId="0">
      <sharedItems containsSemiMixedTypes="0" containsString="0" containsNumber="1" containsInteger="1" minValue="18" maxValue="64" count="43">
        <n v="56"/>
        <n v="46"/>
        <n v="32"/>
        <n v="60"/>
        <n v="25"/>
        <n v="38"/>
        <n v="36"/>
        <n v="40"/>
        <n v="28"/>
        <n v="41"/>
        <n v="53"/>
        <n v="57"/>
        <n v="20"/>
        <n v="39"/>
        <n v="19"/>
        <n v="61"/>
        <n v="47"/>
        <n v="55"/>
        <n v="50"/>
        <n v="29"/>
        <n v="42"/>
        <n v="44"/>
        <n v="59"/>
        <n v="45"/>
        <n v="33"/>
        <n v="64"/>
        <n v="54"/>
        <n v="24"/>
        <n v="26"/>
        <n v="35"/>
        <n v="21"/>
        <n v="31"/>
        <n v="43"/>
        <n v="37"/>
        <n v="52"/>
        <n v="34"/>
        <n v="23"/>
        <n v="51"/>
        <n v="27"/>
        <n v="48"/>
        <n v="62"/>
        <n v="58"/>
        <n v="18"/>
      </sharedItems>
      <fieldGroup base="0">
        <rangePr startNum="18.0" endNum="64.0" groupInterval="5.0"/>
        <groupItems count="12">
          <s v="&lt;18"/>
          <s v="18-22"/>
          <s v="23-27"/>
          <s v="28-32"/>
          <s v="33-37"/>
          <s v="38-42"/>
          <s v="43-47"/>
          <s v="48-52"/>
          <s v="53-57"/>
          <s v="58-62"/>
          <s v="63-67"/>
          <s v="&gt;68"/>
        </groupItems>
      </fieldGroup>
    </cacheField>
    <cacheField name="Salary" numFmtId="0">
      <sharedItems containsSemiMixedTypes="0" containsString="0" containsNumber="1" containsInteger="1" minValue="27693" maxValue="179736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:id="rId1" refreshedBy="Ajay Poonia" refreshedDate="46030.665479166666" createdVersion="8" refreshedVersion="8" minRefreshableVersion="3" recordCount="100">
  <cacheSource type="worksheet">
    <worksheetSource ref="A1:E101" sheet="PIVOT TABLES "/>
  </cacheSource>
  <cacheFields count="5">
    <cacheField name="Age" numFmtId="0">
      <sharedItems containsSemiMixedTypes="0" containsString="0" containsNumber="1" containsInteger="1" minValue="18" maxValue="64" count="43">
        <n v="56"/>
        <n v="46"/>
        <n v="32"/>
        <n v="60"/>
        <n v="25"/>
        <n v="38"/>
        <n v="36"/>
        <n v="40"/>
        <n v="28"/>
        <n v="41"/>
        <n v="53"/>
        <n v="57"/>
        <n v="20"/>
        <n v="39"/>
        <n v="19"/>
        <n v="61"/>
        <n v="47"/>
        <n v="55"/>
        <n v="50"/>
        <n v="29"/>
        <n v="42"/>
        <n v="44"/>
        <n v="59"/>
        <n v="45"/>
        <n v="33"/>
        <n v="64"/>
        <n v="54"/>
        <n v="24"/>
        <n v="26"/>
        <n v="35"/>
        <n v="21"/>
        <n v="31"/>
        <n v="43"/>
        <n v="37"/>
        <n v="52"/>
        <n v="34"/>
        <n v="23"/>
        <n v="51"/>
        <n v="27"/>
        <n v="48"/>
        <n v="62"/>
        <n v="58"/>
        <n v="18"/>
      </sharedItems>
      <fieldGroup base="0">
        <rangePr startNum="18.0" endNum="64.0" groupInterval="10.0"/>
        <groupItems count="7">
          <s v="&lt;18"/>
          <s v="18-27"/>
          <s v="28-37"/>
          <s v="38-47"/>
          <s v="48-57"/>
          <s v="58-67"/>
          <s v="&gt;68"/>
        </groupItems>
      </fieldGroup>
    </cacheField>
    <cacheField name="Salary" numFmtId="0">
      <sharedItems containsSemiMixedTypes="0" containsString="0" containsNumber="1" containsInteger="1" minValue="27693" maxValue="179736" count="100">
        <n v="158767"/>
        <n v="149375"/>
        <n v="161330"/>
        <n v="64504"/>
        <n v="38986"/>
        <n v="86858"/>
        <n v="154312"/>
        <n v="37666"/>
        <n v="63660"/>
        <n v="159633"/>
        <n v="51854"/>
        <n v="89505"/>
        <n v="129488"/>
        <n v="47662"/>
        <n v="33392"/>
        <n v="55535"/>
        <n v="138569"/>
        <n v="77256"/>
        <n v="114135"/>
        <n v="152478"/>
        <n v="60222"/>
        <n v="102373"/>
        <n v="148684"/>
        <n v="35965"/>
        <n v="49538"/>
        <n v="133066"/>
        <n v="138252"/>
        <n v="164182"/>
        <n v="123806"/>
        <n v="162982"/>
        <n v="135989"/>
        <n v="115982"/>
        <n v="146626"/>
        <n v="144176"/>
        <n v="156278"/>
        <n v="147409"/>
        <n v="48419"/>
        <n v="75015"/>
        <n v="147096"/>
        <n v="132059"/>
        <n v="135687"/>
        <n v="112939"/>
        <n v="174213"/>
        <n v="130878"/>
        <n v="87623"/>
        <n v="100450"/>
        <n v="118426"/>
        <n v="142845"/>
        <n v="178371"/>
        <n v="68585"/>
        <n v="134225"/>
        <n v="89044"/>
        <n v="134556"/>
        <n v="27693"/>
        <n v="120259"/>
        <n v="50939"/>
        <n v="177906"/>
        <n v="43047"/>
        <n v="51105"/>
        <n v="100766"/>
        <n v="171779"/>
        <n v="178048"/>
        <n v="69262"/>
        <n v="150117"/>
        <n v="48776"/>
        <n v="153376"/>
        <n v="162848"/>
        <n v="117787"/>
        <n v="152948"/>
        <n v="80016"/>
        <n v="165546"/>
        <n v="46959"/>
        <n v="161602"/>
        <n v="144101"/>
        <n v="28748"/>
        <n v="38545"/>
        <n v="152659"/>
        <n v="98530"/>
        <n v="118557"/>
        <n v="86087"/>
        <n v="93840"/>
        <n v="143451"/>
        <n v="76005"/>
        <n v="64353"/>
        <n v="77733"/>
        <n v="90318"/>
        <n v="179736"/>
        <n v="92172"/>
        <n v="118264"/>
        <n v="51736"/>
        <n v="137859"/>
        <n v="137181"/>
        <n v="156926"/>
        <n v="115084"/>
        <n v="32392"/>
        <n v="80680"/>
        <n v="75859"/>
        <n v="150657"/>
        <n v="95467"/>
        <n v="123506"/>
      </sharedItems>
      <fieldGroup base="1">
        <rangePr autoStart="0" autoEnd="0" startNum="25000.0" endNum="200000.0" groupInterval="25000.0"/>
        <groupItems count="9">
          <s v="&lt;25000"/>
          <s v="25000-49999"/>
          <s v="50000-74999"/>
          <s v="75000-99999"/>
          <s v="100000-124999"/>
          <s v="125000-149999"/>
          <s v="150000-174999"/>
          <s v="175000-200000"/>
          <s v="&gt;200000"/>
        </groupItems>
      </fieldGroup>
    </cacheField>
    <cacheField name="Purchase_Count" numFmtId="0">
      <sharedItems containsSemiMixedTypes="0" containsString="0" containsNumber="1" containsInteger="1" minValue="1" maxValue="49"/>
    </cacheField>
    <cacheField name="Satisfaction_Score" numFmtId="0">
      <sharedItems containsSemiMixedTypes="0" containsString="0" containsNumber="1" minValue="1.0618264661154599" maxValue="4.9602154004170496" count="100">
        <n v="1.9759585735163301"/>
        <n v="4.8920422190097801"/>
        <n v="2.5723908986670398"/>
        <n v="4.5681862207084496"/>
        <n v="3.5245545039890498"/>
        <n v="4.1792452141665901"/>
        <n v="3.01054837242076"/>
        <n v="3.3076155385054302"/>
        <n v="2.9700707752754498"/>
        <n v="1.78097195119217"/>
        <n v="3.88980846104602"/>
        <n v="2.1230894497634201"/>
        <n v="1.09726386572581"/>
        <n v="3.5818891836286699"/>
        <n v="1.70844271762819"/>
        <n v="4.7618343374116501"/>
        <n v="4.8157143080103397"/>
        <n v="4.6594575608817896"/>
        <n v="2.48063480102177"/>
        <n v="1.0618264661154599"/>
        <n v="4.7132742503509002"/>
        <n v="2.7127365932692502"/>
        <n v="4.8666192761746698"/>
        <n v="4.8544799083570096"/>
        <n v="4.4120378218694398"/>
        <n v="2.1777955682783401"/>
        <n v="2.5403909144077002"/>
        <n v="4.4045466860674196"/>
        <n v="2.2676880206251102"/>
        <n v="1.67797098674437"/>
        <n v="3.2272050498334002"/>
        <n v="4.7446190966431203"/>
        <n v="3.7841191866998898"/>
        <n v="3.2802446803574599"/>
        <n v="1.3887059750830699"/>
        <n v="3.4600289067966701"/>
        <n v="4.9602154004170496"/>
        <n v="1.5603360609460899"/>
        <n v="3.0733186094549398"/>
        <n v="4.5094922877118204"/>
        <n v="3.9630744710168102"/>
        <n v="3.7880629639810701"/>
        <n v="3.80993633594843"/>
        <n v="2.4379646048790198"/>
        <n v="2.1743673770579699"/>
        <n v="4.23744462191405"/>
        <n v="4.2404535787167204"/>
        <n v="4.4682892743204103"/>
        <n v="4.6529622102258799"/>
        <n v="3.0453695954437499"/>
        <n v="3.00606517874879"/>
        <n v="4.1931807158670997"/>
        <n v="3.5998557231110602"/>
        <n v="3.8078675090308098"/>
        <n v="4.1831706777443998"/>
        <n v="4.5600213672702603"/>
        <n v="2.3519806274061401"/>
        <n v="2.5023318105597698"/>
        <n v="1.37592775936347"/>
        <n v="3.3131205639846901"/>
        <n v="1.1437690951869599"/>
        <n v="2.8623920725298402"/>
        <n v="3.1705785388302998"/>
        <n v="2.1461650085131301"/>
        <n v="3.3633330422760399"/>
        <n v="1.1220009997561899"/>
        <n v="1.1493927549968499"/>
        <n v="4.2904022426386303"/>
        <n v="2.4407625656450498"/>
        <n v="1.50824205060753"/>
        <n v="3.0889730402192099"/>
        <n v="4.0799742123944398"/>
        <n v="1.86328410998737"/>
        <n v="3.4915619032760001"/>
        <n v="1.34138985997507"/>
        <n v="1.2067268846744299"/>
        <n v="3.1254185262725902"/>
        <n v="3.1625404864404199"/>
        <n v="3.54971960599282"/>
        <n v="3.90436533489064"/>
        <n v="4.90340831785013"/>
        <n v="3.0652013932047799"/>
        <n v="2.2918258917649799"/>
        <n v="4.1807447790748098"/>
        <n v="2.0833290050482902"/>
        <n v="2.75588568282254"/>
        <n v="1.3138255253690601"/>
        <n v="1.10140297366183"/>
        <n v="4.8505936587117002"/>
        <n v="4.3439204820488202"/>
        <n v="3.7838968243747901"/>
        <n v="2.6358117776570702"/>
        <n v="1.69317728028338"/>
        <n v="1.62574817068434"/>
        <n v="2.00097159265838"/>
        <n v="3.1969066588244801"/>
        <n v="3.85838369080024"/>
        <n v="3.6407895068709202"/>
        <n v="2.11973558778377"/>
        <n v="4.8194611226527702"/>
      </sharedItems>
    </cacheField>
    <cacheField name="Visit_Frequency" numFmtId="0">
      <sharedItems containsSemiMixedTypes="0" containsString="0" containsNumber="1" containsInteger="1" minValue="1" maxValue="19" count="18">
        <n v="7"/>
        <n v="5"/>
        <n v="3"/>
        <n v="12"/>
        <n v="16"/>
        <n v="19"/>
        <n v="14"/>
        <n v="15"/>
        <n v="17"/>
        <n v="4"/>
        <n v="1"/>
        <n v="10"/>
        <n v="2"/>
        <n v="13"/>
        <n v="18"/>
        <n v="11"/>
        <n v="8"/>
        <n v="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n v="158767"/>
  </r>
  <r>
    <x v="1"/>
    <n v="149375"/>
  </r>
  <r>
    <x v="2"/>
    <n v="161330"/>
  </r>
  <r>
    <x v="3"/>
    <n v="64504"/>
  </r>
  <r>
    <x v="4"/>
    <n v="38986"/>
  </r>
  <r>
    <x v="5"/>
    <n v="86858"/>
  </r>
  <r>
    <x v="0"/>
    <n v="154312"/>
  </r>
  <r>
    <x v="6"/>
    <n v="37666"/>
  </r>
  <r>
    <x v="7"/>
    <n v="63660"/>
  </r>
  <r>
    <x v="8"/>
    <n v="159633"/>
  </r>
  <r>
    <x v="8"/>
    <n v="51854"/>
  </r>
  <r>
    <x v="9"/>
    <n v="89505"/>
  </r>
  <r>
    <x v="10"/>
    <n v="129488"/>
  </r>
  <r>
    <x v="11"/>
    <n v="47662"/>
  </r>
  <r>
    <x v="9"/>
    <n v="33392"/>
  </r>
  <r>
    <x v="12"/>
    <n v="55535"/>
  </r>
  <r>
    <x v="13"/>
    <n v="138569"/>
  </r>
  <r>
    <x v="14"/>
    <n v="77256"/>
  </r>
  <r>
    <x v="9"/>
    <n v="114135"/>
  </r>
  <r>
    <x v="15"/>
    <n v="152478"/>
  </r>
  <r>
    <x v="16"/>
    <n v="60222"/>
  </r>
  <r>
    <x v="17"/>
    <n v="102373"/>
  </r>
  <r>
    <x v="14"/>
    <n v="148684"/>
  </r>
  <r>
    <x v="5"/>
    <n v="35965"/>
  </r>
  <r>
    <x v="18"/>
    <n v="49538"/>
  </r>
  <r>
    <x v="19"/>
    <n v="133066"/>
  </r>
  <r>
    <x v="13"/>
    <n v="138252"/>
  </r>
  <r>
    <x v="15"/>
    <n v="164182"/>
  </r>
  <r>
    <x v="20"/>
    <n v="123806"/>
  </r>
  <r>
    <x v="21"/>
    <n v="162982"/>
  </r>
  <r>
    <x v="22"/>
    <n v="135989"/>
  </r>
  <r>
    <x v="23"/>
    <n v="115982"/>
  </r>
  <r>
    <x v="24"/>
    <n v="146626"/>
  </r>
  <r>
    <x v="2"/>
    <n v="144176"/>
  </r>
  <r>
    <x v="25"/>
    <n v="156278"/>
  </r>
  <r>
    <x v="15"/>
    <n v="147409"/>
  </r>
  <r>
    <x v="12"/>
    <n v="48419"/>
  </r>
  <r>
    <x v="26"/>
    <n v="75015"/>
  </r>
  <r>
    <x v="27"/>
    <n v="147096"/>
  </r>
  <r>
    <x v="5"/>
    <n v="132059"/>
  </r>
  <r>
    <x v="28"/>
    <n v="135687"/>
  </r>
  <r>
    <x v="0"/>
    <n v="112939"/>
  </r>
  <r>
    <x v="29"/>
    <n v="174213"/>
  </r>
  <r>
    <x v="30"/>
    <n v="130878"/>
  </r>
  <r>
    <x v="20"/>
    <n v="87623"/>
  </r>
  <r>
    <x v="31"/>
    <n v="100450"/>
  </r>
  <r>
    <x v="28"/>
    <n v="118426"/>
  </r>
  <r>
    <x v="32"/>
    <n v="142845"/>
  </r>
  <r>
    <x v="14"/>
    <n v="178371"/>
  </r>
  <r>
    <x v="33"/>
    <n v="68585"/>
  </r>
  <r>
    <x v="23"/>
    <n v="134225"/>
  </r>
  <r>
    <x v="25"/>
    <n v="89044"/>
  </r>
  <r>
    <x v="27"/>
    <n v="134556"/>
  </r>
  <r>
    <x v="15"/>
    <n v="27693"/>
  </r>
  <r>
    <x v="4"/>
    <n v="120259"/>
  </r>
  <r>
    <x v="25"/>
    <n v="50939"/>
  </r>
  <r>
    <x v="34"/>
    <n v="177906"/>
  </r>
  <r>
    <x v="31"/>
    <n v="43047"/>
  </r>
  <r>
    <x v="35"/>
    <n v="51105"/>
  </r>
  <r>
    <x v="10"/>
    <n v="100766"/>
  </r>
  <r>
    <x v="11"/>
    <n v="171779"/>
  </r>
  <r>
    <x v="30"/>
    <n v="178048"/>
  </r>
  <r>
    <x v="14"/>
    <n v="69262"/>
  </r>
  <r>
    <x v="36"/>
    <n v="150117"/>
  </r>
  <r>
    <x v="22"/>
    <n v="48776"/>
  </r>
  <r>
    <x v="30"/>
    <n v="153376"/>
  </r>
  <r>
    <x v="1"/>
    <n v="162848"/>
  </r>
  <r>
    <x v="29"/>
    <n v="117787"/>
  </r>
  <r>
    <x v="32"/>
    <n v="152948"/>
  </r>
  <r>
    <x v="15"/>
    <n v="80016"/>
  </r>
  <r>
    <x v="37"/>
    <n v="165546"/>
  </r>
  <r>
    <x v="38"/>
    <n v="46959"/>
  </r>
  <r>
    <x v="10"/>
    <n v="161602"/>
  </r>
  <r>
    <x v="31"/>
    <n v="144101"/>
  </r>
  <r>
    <x v="39"/>
    <n v="28748"/>
  </r>
  <r>
    <x v="2"/>
    <n v="38545"/>
  </r>
  <r>
    <x v="4"/>
    <n v="152659"/>
  </r>
  <r>
    <x v="31"/>
    <n v="98530"/>
  </r>
  <r>
    <x v="7"/>
    <n v="118557"/>
  </r>
  <r>
    <x v="11"/>
    <n v="86087"/>
  </r>
  <r>
    <x v="5"/>
    <n v="93840"/>
  </r>
  <r>
    <x v="24"/>
    <n v="143451"/>
  </r>
  <r>
    <x v="40"/>
    <n v="76005"/>
  </r>
  <r>
    <x v="29"/>
    <n v="64353"/>
  </r>
  <r>
    <x v="25"/>
    <n v="77733"/>
  </r>
  <r>
    <x v="9"/>
    <n v="90318"/>
  </r>
  <r>
    <x v="32"/>
    <n v="179736"/>
  </r>
  <r>
    <x v="20"/>
    <n v="92172"/>
  </r>
  <r>
    <x v="40"/>
    <n v="118264"/>
  </r>
  <r>
    <x v="41"/>
    <n v="51736"/>
  </r>
  <r>
    <x v="1"/>
    <n v="137859"/>
  </r>
  <r>
    <x v="2"/>
    <n v="137181"/>
  </r>
  <r>
    <x v="40"/>
    <n v="156926"/>
  </r>
  <r>
    <x v="42"/>
    <n v="115084"/>
  </r>
  <r>
    <x v="20"/>
    <n v="32392"/>
  </r>
  <r>
    <x v="27"/>
    <n v="80680"/>
  </r>
  <r>
    <x v="28"/>
    <n v="75859"/>
  </r>
  <r>
    <x v="9"/>
    <n v="150657"/>
  </r>
  <r>
    <x v="42"/>
    <n v="95467"/>
  </r>
  <r>
    <x v="15"/>
    <n v="12350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">
  <r>
    <x v="0"/>
    <x v="0"/>
    <n v="17"/>
    <x v="0"/>
    <x v="0"/>
  </r>
  <r>
    <x v="1"/>
    <x v="1"/>
    <n v="38"/>
    <x v="1"/>
    <x v="1"/>
  </r>
  <r>
    <x v="2"/>
    <x v="2"/>
    <n v="24"/>
    <x v="2"/>
    <x v="2"/>
  </r>
  <r>
    <x v="3"/>
    <x v="3"/>
    <n v="5"/>
    <x v="3"/>
    <x v="3"/>
  </r>
  <r>
    <x v="4"/>
    <x v="4"/>
    <n v="34"/>
    <x v="4"/>
    <x v="4"/>
  </r>
  <r>
    <x v="5"/>
    <x v="5"/>
    <n v="6"/>
    <x v="5"/>
    <x v="5"/>
  </r>
  <r>
    <x v="0"/>
    <x v="6"/>
    <n v="22"/>
    <x v="6"/>
    <x v="1"/>
  </r>
  <r>
    <x v="6"/>
    <x v="7"/>
    <n v="11"/>
    <x v="7"/>
    <x v="6"/>
  </r>
  <r>
    <x v="7"/>
    <x v="8"/>
    <n v="48"/>
    <x v="8"/>
    <x v="1"/>
  </r>
  <r>
    <x v="8"/>
    <x v="9"/>
    <n v="16"/>
    <x v="9"/>
    <x v="7"/>
  </r>
  <r>
    <x v="8"/>
    <x v="10"/>
    <n v="33"/>
    <x v="10"/>
    <x v="8"/>
  </r>
  <r>
    <x v="9"/>
    <x v="11"/>
    <n v="9"/>
    <x v="11"/>
    <x v="6"/>
  </r>
  <r>
    <x v="10"/>
    <x v="12"/>
    <n v="6"/>
    <x v="12"/>
    <x v="1"/>
  </r>
  <r>
    <x v="11"/>
    <x v="13"/>
    <n v="16"/>
    <x v="13"/>
    <x v="3"/>
  </r>
  <r>
    <x v="9"/>
    <x v="14"/>
    <n v="29"/>
    <x v="14"/>
    <x v="4"/>
  </r>
  <r>
    <x v="12"/>
    <x v="15"/>
    <n v="3"/>
    <x v="15"/>
    <x v="4"/>
  </r>
  <r>
    <x v="13"/>
    <x v="16"/>
    <n v="20"/>
    <x v="16"/>
    <x v="0"/>
  </r>
  <r>
    <x v="14"/>
    <x v="17"/>
    <n v="36"/>
    <x v="17"/>
    <x v="9"/>
  </r>
  <r>
    <x v="9"/>
    <x v="18"/>
    <n v="19"/>
    <x v="18"/>
    <x v="10"/>
  </r>
  <r>
    <x v="15"/>
    <x v="19"/>
    <n v="26"/>
    <x v="19"/>
    <x v="1"/>
  </r>
  <r>
    <x v="16"/>
    <x v="20"/>
    <n v="3"/>
    <x v="20"/>
    <x v="11"/>
  </r>
  <r>
    <x v="17"/>
    <x v="21"/>
    <n v="19"/>
    <x v="21"/>
    <x v="1"/>
  </r>
  <r>
    <x v="14"/>
    <x v="22"/>
    <n v="20"/>
    <x v="22"/>
    <x v="9"/>
  </r>
  <r>
    <x v="5"/>
    <x v="23"/>
    <n v="32"/>
    <x v="23"/>
    <x v="12"/>
  </r>
  <r>
    <x v="18"/>
    <x v="24"/>
    <n v="7"/>
    <x v="24"/>
    <x v="11"/>
  </r>
  <r>
    <x v="19"/>
    <x v="25"/>
    <n v="41"/>
    <x v="25"/>
    <x v="5"/>
  </r>
  <r>
    <x v="13"/>
    <x v="26"/>
    <n v="33"/>
    <x v="26"/>
    <x v="10"/>
  </r>
  <r>
    <x v="15"/>
    <x v="27"/>
    <n v="40"/>
    <x v="27"/>
    <x v="1"/>
  </r>
  <r>
    <x v="20"/>
    <x v="28"/>
    <n v="39"/>
    <x v="28"/>
    <x v="13"/>
  </r>
  <r>
    <x v="21"/>
    <x v="29"/>
    <n v="18"/>
    <x v="29"/>
    <x v="9"/>
  </r>
  <r>
    <x v="22"/>
    <x v="30"/>
    <n v="40"/>
    <x v="30"/>
    <x v="4"/>
  </r>
  <r>
    <x v="23"/>
    <x v="31"/>
    <n v="1"/>
    <x v="31"/>
    <x v="4"/>
  </r>
  <r>
    <x v="24"/>
    <x v="32"/>
    <n v="11"/>
    <x v="32"/>
    <x v="12"/>
  </r>
  <r>
    <x v="2"/>
    <x v="33"/>
    <n v="28"/>
    <x v="33"/>
    <x v="8"/>
  </r>
  <r>
    <x v="25"/>
    <x v="34"/>
    <n v="25"/>
    <x v="34"/>
    <x v="3"/>
  </r>
  <r>
    <x v="15"/>
    <x v="35"/>
    <n v="23"/>
    <x v="35"/>
    <x v="14"/>
  </r>
  <r>
    <x v="12"/>
    <x v="36"/>
    <n v="31"/>
    <x v="36"/>
    <x v="2"/>
  </r>
  <r>
    <x v="26"/>
    <x v="37"/>
    <n v="30"/>
    <x v="37"/>
    <x v="10"/>
  </r>
  <r>
    <x v="27"/>
    <x v="38"/>
    <n v="42"/>
    <x v="38"/>
    <x v="10"/>
  </r>
  <r>
    <x v="5"/>
    <x v="39"/>
    <n v="35"/>
    <x v="39"/>
    <x v="5"/>
  </r>
  <r>
    <x v="28"/>
    <x v="40"/>
    <n v="7"/>
    <x v="40"/>
    <x v="15"/>
  </r>
  <r>
    <x v="0"/>
    <x v="41"/>
    <n v="16"/>
    <x v="41"/>
    <x v="1"/>
  </r>
  <r>
    <x v="29"/>
    <x v="42"/>
    <n v="26"/>
    <x v="42"/>
    <x v="3"/>
  </r>
  <r>
    <x v="30"/>
    <x v="43"/>
    <n v="48"/>
    <x v="43"/>
    <x v="2"/>
  </r>
  <r>
    <x v="20"/>
    <x v="44"/>
    <n v="49"/>
    <x v="44"/>
    <x v="10"/>
  </r>
  <r>
    <x v="31"/>
    <x v="45"/>
    <n v="2"/>
    <x v="45"/>
    <x v="10"/>
  </r>
  <r>
    <x v="28"/>
    <x v="46"/>
    <n v="1"/>
    <x v="46"/>
    <x v="16"/>
  </r>
  <r>
    <x v="32"/>
    <x v="47"/>
    <n v="48"/>
    <x v="47"/>
    <x v="11"/>
  </r>
  <r>
    <x v="14"/>
    <x v="48"/>
    <n v="12"/>
    <x v="48"/>
    <x v="15"/>
  </r>
  <r>
    <x v="33"/>
    <x v="49"/>
    <n v="5"/>
    <x v="49"/>
    <x v="3"/>
  </r>
  <r>
    <x v="23"/>
    <x v="50"/>
    <n v="37"/>
    <x v="50"/>
    <x v="13"/>
  </r>
  <r>
    <x v="25"/>
    <x v="51"/>
    <n v="32"/>
    <x v="51"/>
    <x v="3"/>
  </r>
  <r>
    <x v="27"/>
    <x v="52"/>
    <n v="9"/>
    <x v="52"/>
    <x v="6"/>
  </r>
  <r>
    <x v="15"/>
    <x v="53"/>
    <n v="41"/>
    <x v="53"/>
    <x v="12"/>
  </r>
  <r>
    <x v="4"/>
    <x v="54"/>
    <n v="35"/>
    <x v="54"/>
    <x v="5"/>
  </r>
  <r>
    <x v="25"/>
    <x v="55"/>
    <n v="19"/>
    <x v="55"/>
    <x v="14"/>
  </r>
  <r>
    <x v="34"/>
    <x v="56"/>
    <n v="48"/>
    <x v="56"/>
    <x v="2"/>
  </r>
  <r>
    <x v="31"/>
    <x v="57"/>
    <n v="16"/>
    <x v="57"/>
    <x v="8"/>
  </r>
  <r>
    <x v="35"/>
    <x v="58"/>
    <n v="3"/>
    <x v="58"/>
    <x v="16"/>
  </r>
  <r>
    <x v="10"/>
    <x v="59"/>
    <n v="20"/>
    <x v="59"/>
    <x v="11"/>
  </r>
  <r>
    <x v="11"/>
    <x v="60"/>
    <n v="24"/>
    <x v="60"/>
    <x v="12"/>
  </r>
  <r>
    <x v="30"/>
    <x v="61"/>
    <n v="33"/>
    <x v="61"/>
    <x v="5"/>
  </r>
  <r>
    <x v="14"/>
    <x v="62"/>
    <n v="24"/>
    <x v="62"/>
    <x v="17"/>
  </r>
  <r>
    <x v="36"/>
    <x v="63"/>
    <n v="11"/>
    <x v="63"/>
    <x v="0"/>
  </r>
  <r>
    <x v="22"/>
    <x v="64"/>
    <n v="49"/>
    <x v="64"/>
    <x v="9"/>
  </r>
  <r>
    <x v="30"/>
    <x v="65"/>
    <n v="8"/>
    <x v="65"/>
    <x v="14"/>
  </r>
  <r>
    <x v="1"/>
    <x v="66"/>
    <n v="36"/>
    <x v="66"/>
    <x v="13"/>
  </r>
  <r>
    <x v="29"/>
    <x v="67"/>
    <n v="38"/>
    <x v="67"/>
    <x v="15"/>
  </r>
  <r>
    <x v="32"/>
    <x v="68"/>
    <n v="40"/>
    <x v="68"/>
    <x v="9"/>
  </r>
  <r>
    <x v="15"/>
    <x v="69"/>
    <n v="20"/>
    <x v="69"/>
    <x v="9"/>
  </r>
  <r>
    <x v="37"/>
    <x v="70"/>
    <n v="35"/>
    <x v="70"/>
    <x v="11"/>
  </r>
  <r>
    <x v="38"/>
    <x v="71"/>
    <n v="48"/>
    <x v="71"/>
    <x v="1"/>
  </r>
  <r>
    <x v="10"/>
    <x v="72"/>
    <n v="25"/>
    <x v="72"/>
    <x v="17"/>
  </r>
  <r>
    <x v="31"/>
    <x v="73"/>
    <n v="35"/>
    <x v="73"/>
    <x v="2"/>
  </r>
  <r>
    <x v="39"/>
    <x v="74"/>
    <n v="25"/>
    <x v="74"/>
    <x v="8"/>
  </r>
  <r>
    <x v="2"/>
    <x v="75"/>
    <n v="29"/>
    <x v="75"/>
    <x v="2"/>
  </r>
  <r>
    <x v="4"/>
    <x v="76"/>
    <n v="18"/>
    <x v="76"/>
    <x v="4"/>
  </r>
  <r>
    <x v="31"/>
    <x v="77"/>
    <n v="46"/>
    <x v="77"/>
    <x v="9"/>
  </r>
  <r>
    <x v="7"/>
    <x v="78"/>
    <n v="18"/>
    <x v="78"/>
    <x v="14"/>
  </r>
  <r>
    <x v="11"/>
    <x v="79"/>
    <n v="2"/>
    <x v="79"/>
    <x v="8"/>
  </r>
  <r>
    <x v="5"/>
    <x v="80"/>
    <n v="35"/>
    <x v="80"/>
    <x v="0"/>
  </r>
  <r>
    <x v="24"/>
    <x v="81"/>
    <n v="16"/>
    <x v="81"/>
    <x v="1"/>
  </r>
  <r>
    <x v="40"/>
    <x v="82"/>
    <n v="41"/>
    <x v="82"/>
    <x v="3"/>
  </r>
  <r>
    <x v="29"/>
    <x v="83"/>
    <n v="36"/>
    <x v="83"/>
    <x v="8"/>
  </r>
  <r>
    <x v="25"/>
    <x v="84"/>
    <n v="33"/>
    <x v="84"/>
    <x v="13"/>
  </r>
  <r>
    <x v="9"/>
    <x v="85"/>
    <n v="4"/>
    <x v="85"/>
    <x v="2"/>
  </r>
  <r>
    <x v="32"/>
    <x v="86"/>
    <n v="33"/>
    <x v="86"/>
    <x v="17"/>
  </r>
  <r>
    <x v="20"/>
    <x v="87"/>
    <n v="14"/>
    <x v="87"/>
    <x v="8"/>
  </r>
  <r>
    <x v="40"/>
    <x v="88"/>
    <n v="21"/>
    <x v="88"/>
    <x v="8"/>
  </r>
  <r>
    <x v="41"/>
    <x v="89"/>
    <n v="48"/>
    <x v="89"/>
    <x v="4"/>
  </r>
  <r>
    <x v="1"/>
    <x v="90"/>
    <n v="20"/>
    <x v="90"/>
    <x v="13"/>
  </r>
  <r>
    <x v="2"/>
    <x v="91"/>
    <n v="8"/>
    <x v="91"/>
    <x v="5"/>
  </r>
  <r>
    <x v="40"/>
    <x v="92"/>
    <n v="7"/>
    <x v="92"/>
    <x v="8"/>
  </r>
  <r>
    <x v="42"/>
    <x v="93"/>
    <n v="3"/>
    <x v="93"/>
    <x v="9"/>
  </r>
  <r>
    <x v="20"/>
    <x v="94"/>
    <n v="17"/>
    <x v="94"/>
    <x v="3"/>
  </r>
  <r>
    <x v="27"/>
    <x v="95"/>
    <n v="33"/>
    <x v="95"/>
    <x v="17"/>
  </r>
  <r>
    <x v="28"/>
    <x v="96"/>
    <n v="48"/>
    <x v="96"/>
    <x v="5"/>
  </r>
  <r>
    <x v="9"/>
    <x v="97"/>
    <n v="12"/>
    <x v="97"/>
    <x v="3"/>
  </r>
  <r>
    <x v="42"/>
    <x v="98"/>
    <n v="22"/>
    <x v="98"/>
    <x v="17"/>
  </r>
  <r>
    <x v="15"/>
    <x v="99"/>
    <n v="22"/>
    <x v="99"/>
    <x v="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6" cacheId="27" applyNumberFormats="0" applyBorderFormats="0" applyFontFormats="0" applyPatternFormats="0" applyAlignmentFormats="0" applyWidthHeightFormats="1" dataCaption="Values" updatedVersion="8" minRefreshableVersion="3" showDrill="1" useAutoFormatting="1" itemPrintTitles="1" createdVersion="8" indent="0" outline="1" outlineData="1" multipleFieldFilters="0" rowHeaderCaption="Visit_frequency">
  <location ref="L21:M40" firstHeaderRow="1" firstDataRow="1" firstDataCol="1"/>
  <pivotFields count="5"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axis="axisRow" dataField="1" showAll="0">
      <items count="19">
        <item x="10"/>
        <item x="12"/>
        <item x="2"/>
        <item x="9"/>
        <item x="1"/>
        <item x="0"/>
        <item x="16"/>
        <item x="17"/>
        <item x="11"/>
        <item x="15"/>
        <item x="3"/>
        <item x="13"/>
        <item x="6"/>
        <item x="7"/>
        <item x="4"/>
        <item x="8"/>
        <item x="14"/>
        <item x="5"/>
        <item t="default"/>
      </items>
    </pivotField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Visit_Frequency" fld="4" subtotal="count" baseField="4" baseItem="14"/>
  </dataFields>
  <formats count="7">
    <format dxfId="0">
      <pivotArea type="all" dataOnly="0" outline="0" fieldPosition="0"/>
    </format>
    <format dxfId="1">
      <pivotArea outline="0" collapsedLevelsAreSubtotals="1" fieldPosition="0"/>
    </format>
    <format dxfId="2">
      <pivotArea field="4" type="button" dataOnly="0" labelOnly="1" outline="0" axis="axisRow" fieldPosition="0"/>
    </format>
    <format dxfId="3">
      <pivotArea dataOnly="0" labelOnly="1" fieldPosition="0">
        <references count="1">
          <reference field="4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  <format dxfId="6">
      <pivotArea dataOnly="0" labelOnly="1" fieldPosition="0">
        <references count="1">
          <reference field="4" count="0"/>
        </references>
      </pivotArea>
    </format>
  </formats>
  <pivotTableStyleInfo name="PivotStyleLight16" showColHeaders="1" showColStripes="0" showLastColumn="1" showRowHeaders="1" showRowStripes="0"/>
</pivotTableDefinition>
</file>

<file path=xl/pivotTables/pivotTable2.xml><?xml version="1.0" encoding="utf-8"?>
<pivotTableDefinition xmlns="http://schemas.openxmlformats.org/spreadsheetml/2006/main" name="PivotTable7" cacheId="27" applyNumberFormats="0" applyBorderFormats="0" applyFontFormats="0" applyPatternFormats="0" applyAlignmentFormats="0" applyWidthHeightFormats="1" dataCaption="Values" updatedVersion="8" minRefreshableVersion="3" showDrill="1" useAutoFormatting="1" itemPrintTitles="1" createdVersion="8" indent="0" outline="1" outlineData="1" multipleFieldFilters="0">
  <location ref="L43:O49" firstHeaderRow="0" firstDataRow="1" firstDataCol="1"/>
  <pivotFields count="5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in of Salary" fld="1" subtotal="min" baseField="0" baseItem="2"/>
    <dataField name="Max of Salary2" fld="1" subtotal="max" baseField="0" baseItem="2"/>
    <dataField name="Average of Salary3" fld="1" subtotal="average" baseField="0" baseItem="2"/>
  </dataFields>
  <formats count="7">
    <format dxfId="7">
      <pivotArea type="all" dataOnly="0" outline="0" fieldPosition="0"/>
    </format>
    <format dxfId="8">
      <pivotArea outline="0" collapsedLevelsAreSubtotals="1" fieldPosition="0"/>
    </format>
    <format dxfId="9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5">
            <x v="1"/>
            <x v="2"/>
            <x v="3"/>
            <x v="4"/>
            <x v="5"/>
          </reference>
        </references>
      </pivotArea>
    </format>
    <format dxfId="11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">
      <pivotArea dataOnly="0" labelOnly="1" fieldPosition="0">
        <references count="1">
          <reference field="0" count="0"/>
        </references>
      </pivotArea>
    </format>
  </formats>
  <pivotTableStyleInfo name="PivotStyleLight16" showColHeaders="1" showColStripes="0" showLastColumn="1" showRowHeaders="1" showRowStripes="0"/>
</pivotTableDefinition>
</file>

<file path=xl/pivotTables/pivotTable3.xml><?xml version="1.0" encoding="utf-8"?>
<pivotTableDefinition xmlns="http://schemas.openxmlformats.org/spreadsheetml/2006/main" name="PivotTable8" cacheId="27" applyNumberFormats="0" applyBorderFormats="0" applyFontFormats="0" applyPatternFormats="0" applyAlignmentFormats="0" applyWidthHeightFormats="1" dataCaption="Values" updatedVersion="8" minRefreshableVersion="3" showDrill="1" useAutoFormatting="1" itemPrintTitles="1" createdVersion="8" indent="0" outline="1" outlineData="1" multipleFieldFilters="0">
  <location ref="L53:M61" firstHeaderRow="1" firstDataRow="1" firstDataCol="1"/>
  <pivotFields count="5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showAl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urchase_Count" fld="2" baseField="0" baseItem="0"/>
  </dataFields>
  <formats count="7"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7">
            <x v="1"/>
            <x v="2"/>
            <x v="3"/>
            <x v="4"/>
            <x v="5"/>
            <x v="6"/>
            <x v="7"/>
          </reference>
        </references>
      </pivotArea>
    </format>
    <format dxfId="18">
      <pivotArea dataOnly="0" labelOnly="1" grandRow="1" outline="0" fieldPosition="0"/>
    </format>
    <format dxfId="19">
      <pivotArea dataOnly="0" labelOnly="1" outline="0" axis="axisValues" fieldPosition="0"/>
    </format>
    <format dxfId="20">
      <pivotArea dataOnly="0" labelOnly="1" fieldPosition="0">
        <references count="1">
          <reference field="1" count="0"/>
        </references>
      </pivotArea>
    </format>
  </formats>
  <pivotTableStyleInfo name="PivotStyleLight16" showColHeaders="1" showColStripes="0" showLastColumn="1" showRowHeaders="1" showRowStripes="0"/>
</pivotTableDefinition>
</file>

<file path=xl/pivotTables/pivotTable4.xml><?xml version="1.0" encoding="utf-8"?>
<pivotTableDefinition xmlns="http://schemas.openxmlformats.org/spreadsheetml/2006/main" name="PivotTable4" cacheId="14" applyNumberFormats="0" applyBorderFormats="0" applyFontFormats="0" applyPatternFormats="0" applyAlignmentFormats="0" applyWidthHeightFormats="1" dataCaption="Values" updatedVersion="8" minRefreshableVersion="3" showDrill="1" useAutoFormatting="1" itemPrintTitles="1" createdVersion="8" indent="0" outline="1" outlineData="1" multipleFieldFilters="0" rowHeaderCaption="Age Groups">
  <location ref="H3:I14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0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Salary" fld="1" subtotal="average" baseField="0" baseItem="1"/>
  </dataFields>
  <formats count="7">
    <format dxfId="21">
      <pivotArea type="all" dataOnly="0" outline="0" fieldPosition="0"/>
    </format>
    <format dxfId="22">
      <pivotArea outline="0" collapsedLevelsAreSubtotals="1" fieldPosition="0"/>
    </format>
    <format dxfId="23">
      <pivotArea field="0" type="button" dataOnly="0" labelOnly="1" outline="0" axis="axisRow" fieldPosition="0"/>
    </format>
    <format dxfId="24">
      <pivotArea dataOnly="0" labelOnly="1" fieldPosition="0">
        <references count="1">
          <reference field="0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5">
      <pivotArea dataOnly="0" labelOnly="1" grandRow="1" outline="0" fieldPosition="0"/>
    </format>
    <format dxfId="26">
      <pivotArea dataOnly="0" labelOnly="1" outline="0" axis="axisValues" fieldPosition="0"/>
    </format>
    <format dxfId="27">
      <pivotArea dataOnly="0" labelOnly="1" fieldPosition="0">
        <references count="1">
          <reference field="0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pivotTableStyleInfo name="PivotStyleLight16" showColHeaders="1" showColStripes="0" showLastColumn="1" showRowHeaders="1" showRowStripes="0"/>
</pivotTableDefinition>
</file>

<file path=xl/pivotTables/pivotTable5.xml><?xml version="1.0" encoding="utf-8"?>
<pivotTableDefinition xmlns="http://schemas.openxmlformats.org/spreadsheetml/2006/main" name="PivotTable5" cacheId="27" applyNumberFormats="0" applyBorderFormats="0" applyFontFormats="0" applyPatternFormats="0" applyAlignmentFormats="0" applyWidthHeightFormats="1" dataCaption="Values" updatedVersion="8" minRefreshableVersion="3" showDrill="1" useAutoFormatting="1" itemPrintTitles="1" createdVersion="8" indent="0" outline="1" outlineData="1" multipleFieldFilters="0" rowHeaderCaption="Sat_Score">
  <location ref="H17:I118" firstHeaderRow="1" firstDataRow="1" firstDataCol="1"/>
  <pivotFields count="5"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axis="axisRow" showAll="0">
      <items count="101">
        <item x="19"/>
        <item x="12"/>
        <item x="87"/>
        <item x="65"/>
        <item x="60"/>
        <item x="66"/>
        <item x="75"/>
        <item x="86"/>
        <item x="74"/>
        <item x="58"/>
        <item x="34"/>
        <item x="69"/>
        <item x="37"/>
        <item x="93"/>
        <item x="29"/>
        <item x="92"/>
        <item x="14"/>
        <item x="9"/>
        <item x="72"/>
        <item x="0"/>
        <item x="94"/>
        <item x="84"/>
        <item x="98"/>
        <item x="11"/>
        <item x="63"/>
        <item x="44"/>
        <item x="25"/>
        <item x="28"/>
        <item x="82"/>
        <item x="56"/>
        <item x="43"/>
        <item x="68"/>
        <item x="18"/>
        <item x="57"/>
        <item x="26"/>
        <item x="2"/>
        <item x="91"/>
        <item x="21"/>
        <item x="85"/>
        <item x="61"/>
        <item x="8"/>
        <item x="50"/>
        <item x="6"/>
        <item x="49"/>
        <item x="81"/>
        <item x="38"/>
        <item x="70"/>
        <item x="76"/>
        <item x="77"/>
        <item x="62"/>
        <item x="95"/>
        <item x="30"/>
        <item x="33"/>
        <item x="7"/>
        <item x="59"/>
        <item x="64"/>
        <item x="35"/>
        <item x="73"/>
        <item x="4"/>
        <item x="78"/>
        <item x="13"/>
        <item x="52"/>
        <item x="97"/>
        <item x="90"/>
        <item x="32"/>
        <item x="41"/>
        <item x="53"/>
        <item x="42"/>
        <item x="96"/>
        <item x="10"/>
        <item x="79"/>
        <item x="40"/>
        <item x="71"/>
        <item x="5"/>
        <item x="83"/>
        <item x="54"/>
        <item x="51"/>
        <item x="45"/>
        <item x="46"/>
        <item x="67"/>
        <item x="89"/>
        <item x="27"/>
        <item x="24"/>
        <item x="47"/>
        <item x="39"/>
        <item x="55"/>
        <item x="3"/>
        <item x="48"/>
        <item x="17"/>
        <item x="20"/>
        <item x="31"/>
        <item x="15"/>
        <item x="16"/>
        <item x="99"/>
        <item x="88"/>
        <item x="23"/>
        <item x="22"/>
        <item x="1"/>
        <item x="80"/>
        <item x="36"/>
        <item t="default"/>
      </items>
    </pivotField>
    <pivotField showAll="0"/>
  </pivotFields>
  <rowFields count="1">
    <field x="3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Purchase_Count" fld="2" baseField="0" baseItem="0"/>
  </dataFields>
  <formats count="9">
    <format dxfId="28">
      <pivotArea type="all" dataOnly="0" outline="0" fieldPosition="0"/>
    </format>
    <format dxfId="29">
      <pivotArea outline="0" collapsedLevelsAreSubtotals="1" fieldPosition="0"/>
    </format>
    <format dxfId="30">
      <pivotArea field="3" type="button" dataOnly="0" labelOnly="1" outline="0" axis="axisRow" fieldPosition="0"/>
    </format>
    <format dxfId="31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2">
      <pivotArea dataOnly="0" labelOnly="1" fieldPosition="0">
        <references count="1">
          <reference field="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3">
      <pivotArea dataOnly="0" labelOnly="1" grandRow="1" outline="0" fieldPosition="0"/>
    </format>
    <format dxfId="34">
      <pivotArea dataOnly="0" labelOnly="1" outline="0" axis="axisValues" fieldPosition="0"/>
    </format>
    <format dxfId="35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6">
      <pivotArea dataOnly="0" labelOnly="1" fieldPosition="0">
        <references count="1">
          <reference field="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</formats>
  <pivotTableStyleInfo name="PivotStyleLight16" showColHeaders="1" showColStripes="0" showLastColumn="1" showRowHeaders="1" showRowStripes="0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05"/>
  <sheetViews>
    <sheetView workbookViewId="0">
      <selection activeCell="B3" sqref="B3"/>
    </sheetView>
  </sheetViews>
  <sheetFormatPr defaultRowHeight="14.4" defaultColWidth="10"/>
  <cols>
    <col min="1" max="1" customWidth="1" bestFit="1" width="4.0" style="0"/>
    <col min="2" max="2" customWidth="1" bestFit="1" width="7.0" style="0"/>
    <col min="3" max="3" customWidth="1" bestFit="1" width="14.332031" style="0"/>
    <col min="4" max="4" customWidth="1" bestFit="1" width="16.21875" style="0"/>
    <col min="5" max="5" customWidth="1" bestFit="1" width="13.886719" style="0"/>
    <col min="6" max="6" customWidth="1" width="21.0" style="0"/>
    <col min="7" max="7" customWidth="1" width="8.109375" style="0"/>
    <col min="12" max="12" customWidth="1" bestFit="1" width="11.0" style="0"/>
    <col min="13" max="13" customWidth="1" width="11.0" style="0"/>
    <col min="14" max="14" customWidth="1" width="10.332031" style="0"/>
  </cols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</v>
      </c>
    </row>
    <row r="2" spans="8:8">
      <c r="A2">
        <v>56.0</v>
      </c>
      <c r="B2">
        <v>158767.0</v>
      </c>
      <c r="C2">
        <v>17.0</v>
      </c>
      <c r="D2">
        <v>1.97595857351633</v>
      </c>
      <c r="E2">
        <v>7.0</v>
      </c>
      <c r="F2">
        <f>(D2-$L$54)/$L$55</f>
        <v>-0.9901044979072702</v>
      </c>
      <c r="H2" s="1" t="s">
        <v>19</v>
      </c>
      <c r="I2" t="s">
        <v>5</v>
      </c>
    </row>
    <row r="3" spans="8:8">
      <c r="A3">
        <v>46.0</v>
      </c>
      <c r="B3">
        <v>149375.0</v>
      </c>
      <c r="C3">
        <v>38.0</v>
      </c>
      <c r="D3">
        <v>4.89204221900978</v>
      </c>
      <c r="E3">
        <v>5.0</v>
      </c>
      <c r="F3">
        <f t="shared" si="0" ref="F3:F66">(D3-$L$54)/$L$55</f>
        <v>1.4995506828435379</v>
      </c>
    </row>
    <row r="4" spans="8:8">
      <c r="A4">
        <v>32.0</v>
      </c>
      <c r="B4">
        <v>161330.0</v>
      </c>
      <c r="C4">
        <v>24.0</v>
      </c>
      <c r="D4">
        <v>2.57239089866704</v>
      </c>
      <c r="E4">
        <v>3.0</v>
      </c>
      <c r="F4">
        <f t="shared" si="0"/>
        <v>-0.4808904256108483</v>
      </c>
      <c r="J4" s="2" t="s">
        <v>20</v>
      </c>
      <c r="K4" s="3">
        <f>AVERAGE($A$2:$A$101)</f>
        <v>40.88</v>
      </c>
    </row>
    <row r="5" spans="8:8">
      <c r="A5">
        <v>60.0</v>
      </c>
      <c r="B5">
        <v>64504.0</v>
      </c>
      <c r="C5">
        <v>5.0</v>
      </c>
      <c r="D5">
        <v>4.56818622070845</v>
      </c>
      <c r="E5">
        <v>12.0</v>
      </c>
      <c r="F5">
        <f t="shared" si="0"/>
        <v>1.223053208145176</v>
      </c>
      <c r="J5" s="2" t="s">
        <v>21</v>
      </c>
      <c r="K5" s="3">
        <f>MEDIAN($A$2:$A$101)</f>
        <v>41.0</v>
      </c>
    </row>
    <row r="6" spans="8:8">
      <c r="A6">
        <v>25.0</v>
      </c>
      <c r="B6">
        <v>38986.0</v>
      </c>
      <c r="C6">
        <v>34.0</v>
      </c>
      <c r="D6">
        <v>3.52455450398905</v>
      </c>
      <c r="E6">
        <v>16.0</v>
      </c>
      <c r="F6">
        <f t="shared" si="0"/>
        <v>0.3320351763607548</v>
      </c>
      <c r="J6" s="2" t="s">
        <v>22</v>
      </c>
      <c r="K6" s="3">
        <v>61.0</v>
      </c>
    </row>
    <row r="7" spans="8:8">
      <c r="A7">
        <v>38.0</v>
      </c>
      <c r="B7">
        <v>86858.0</v>
      </c>
      <c r="C7">
        <v>6.0</v>
      </c>
      <c r="D7">
        <v>4.17924521416659</v>
      </c>
      <c r="E7">
        <v>19.0</v>
      </c>
      <c r="F7">
        <f t="shared" si="0"/>
        <v>0.8909883191836259</v>
      </c>
    </row>
    <row r="8" spans="8:8">
      <c r="A8">
        <v>56.0</v>
      </c>
      <c r="B8">
        <v>154312.0</v>
      </c>
      <c r="C8">
        <v>22.0</v>
      </c>
      <c r="D8">
        <v>3.01054837242076</v>
      </c>
      <c r="E8">
        <v>5.0</v>
      </c>
      <c r="F8">
        <f t="shared" si="0"/>
        <v>-0.10680615467387945</v>
      </c>
      <c r="H8" s="1" t="s">
        <v>23</v>
      </c>
      <c r="I8" t="s">
        <v>6</v>
      </c>
    </row>
    <row r="9" spans="8:8">
      <c r="A9">
        <v>36.0</v>
      </c>
      <c r="B9">
        <v>37666.0</v>
      </c>
      <c r="C9">
        <v>11.0</v>
      </c>
      <c r="D9">
        <v>3.30761553850543</v>
      </c>
      <c r="E9">
        <v>14.0</v>
      </c>
      <c r="F9">
        <f t="shared" si="0"/>
        <v>0.14681990650465992</v>
      </c>
    </row>
    <row r="10" spans="8:8">
      <c r="A10">
        <v>40.0</v>
      </c>
      <c r="B10">
        <v>63660.0</v>
      </c>
      <c r="C10">
        <v>48.0</v>
      </c>
      <c r="D10">
        <v>2.97007077527545</v>
      </c>
      <c r="E10">
        <v>5.0</v>
      </c>
      <c r="F10">
        <f t="shared" si="0"/>
        <v>-0.14136458018163361</v>
      </c>
      <c r="J10" s="4" t="s">
        <v>24</v>
      </c>
      <c r="K10" s="4"/>
      <c r="L10" s="3">
        <v>44418.0863245736</v>
      </c>
    </row>
    <row r="11" spans="8:8">
      <c r="A11">
        <v>28.0</v>
      </c>
      <c r="B11">
        <v>159633.0</v>
      </c>
      <c r="C11">
        <v>16.0</v>
      </c>
      <c r="D11">
        <v>1.78097195119217</v>
      </c>
      <c r="E11">
        <v>15.0</v>
      </c>
      <c r="F11">
        <f t="shared" si="0"/>
        <v>-1.1565775876612852</v>
      </c>
      <c r="J11" s="4" t="s">
        <v>25</v>
      </c>
      <c r="K11" s="4"/>
      <c r="L11" s="3">
        <v>1.9729663927372727E9</v>
      </c>
    </row>
    <row r="12" spans="8:8">
      <c r="A12">
        <v>28.0</v>
      </c>
      <c r="B12">
        <v>51854.0</v>
      </c>
      <c r="C12">
        <v>33.0</v>
      </c>
      <c r="D12">
        <v>3.88980846104602</v>
      </c>
      <c r="E12">
        <v>17.0</v>
      </c>
      <c r="F12">
        <f t="shared" si="0"/>
        <v>0.643876850683763</v>
      </c>
    </row>
    <row r="13" spans="8:8">
      <c r="A13">
        <v>41.0</v>
      </c>
      <c r="B13">
        <v>89505.0</v>
      </c>
      <c r="C13">
        <v>9.0</v>
      </c>
      <c r="D13">
        <v>2.12308944976342</v>
      </c>
      <c r="E13">
        <v>14.0</v>
      </c>
      <c r="F13">
        <f t="shared" si="0"/>
        <v>-0.8644890517032267</v>
      </c>
      <c r="H13" s="1" t="s">
        <v>26</v>
      </c>
      <c r="I13" t="s">
        <v>27</v>
      </c>
    </row>
    <row r="14" spans="8:8">
      <c r="A14">
        <v>53.0</v>
      </c>
      <c r="B14">
        <v>129488.0</v>
      </c>
      <c r="C14">
        <v>6.0</v>
      </c>
      <c r="D14">
        <v>1.09726386572581</v>
      </c>
      <c r="E14">
        <v>5.0</v>
      </c>
      <c r="F14">
        <f t="shared" si="0"/>
        <v>-1.7403047999218577</v>
      </c>
    </row>
    <row r="15" spans="8:8">
      <c r="A15">
        <v>57.0</v>
      </c>
      <c r="B15">
        <v>47662.0</v>
      </c>
      <c r="C15">
        <v>16.0</v>
      </c>
      <c r="D15">
        <v>3.58188918362867</v>
      </c>
      <c r="E15">
        <v>12.0</v>
      </c>
      <c r="F15">
        <f t="shared" si="0"/>
        <v>0.3809856179648788</v>
      </c>
      <c r="J15" s="2" t="s">
        <v>28</v>
      </c>
      <c r="K15" s="3">
        <f>SKEW($C$2:$C$101)</f>
        <v>0.04866360190409208</v>
      </c>
      <c r="L15" s="3" t="s">
        <v>32</v>
      </c>
      <c r="M15" s="3"/>
      <c r="N15" s="3"/>
    </row>
    <row r="16" spans="8:8">
      <c r="A16">
        <v>41.0</v>
      </c>
      <c r="B16">
        <v>33392.0</v>
      </c>
      <c r="C16">
        <v>29.0</v>
      </c>
      <c r="D16">
        <v>1.70844271762819</v>
      </c>
      <c r="E16">
        <v>16.0</v>
      </c>
      <c r="F16">
        <f t="shared" si="0"/>
        <v>-1.2185006337911544</v>
      </c>
      <c r="J16" s="2" t="s">
        <v>29</v>
      </c>
      <c r="K16" s="3">
        <f>KURT($C$2:$C$101)</f>
        <v>-1.0551590619738274</v>
      </c>
      <c r="L16" s="3" t="s">
        <v>33</v>
      </c>
      <c r="M16" s="3"/>
      <c r="N16" s="3"/>
    </row>
    <row r="17" spans="8:8">
      <c r="A17">
        <v>20.0</v>
      </c>
      <c r="B17">
        <v>55535.0</v>
      </c>
      <c r="C17">
        <v>3.0</v>
      </c>
      <c r="D17">
        <v>4.76183433741165</v>
      </c>
      <c r="E17">
        <v>16.0</v>
      </c>
      <c r="F17">
        <f t="shared" si="0"/>
        <v>1.3883835263402076</v>
      </c>
    </row>
    <row r="18" spans="8:8">
      <c r="A18">
        <v>39.0</v>
      </c>
      <c r="B18">
        <v>138569.0</v>
      </c>
      <c r="C18">
        <v>20.0</v>
      </c>
      <c r="D18">
        <v>4.81571430801034</v>
      </c>
      <c r="E18">
        <v>7.0</v>
      </c>
      <c r="F18">
        <f t="shared" si="0"/>
        <v>1.434384452324287</v>
      </c>
      <c r="H18" s="1" t="s">
        <v>30</v>
      </c>
      <c r="I18" t="s">
        <v>7</v>
      </c>
    </row>
    <row r="19" spans="8:8">
      <c r="A19">
        <v>19.0</v>
      </c>
      <c r="B19">
        <v>77256.0</v>
      </c>
      <c r="C19">
        <v>36.0</v>
      </c>
      <c r="D19">
        <v>4.65945756088179</v>
      </c>
      <c r="E19">
        <v>4.0</v>
      </c>
      <c r="F19">
        <f t="shared" si="0"/>
        <v>1.300977641234671</v>
      </c>
    </row>
    <row r="20" spans="8:8">
      <c r="A20">
        <v>41.0</v>
      </c>
      <c r="B20">
        <v>114135.0</v>
      </c>
      <c r="C20">
        <v>19.0</v>
      </c>
      <c r="D20">
        <v>2.48063480102177</v>
      </c>
      <c r="E20">
        <v>1.0</v>
      </c>
      <c r="F20">
        <f t="shared" si="0"/>
        <v>-0.5592287284990588</v>
      </c>
    </row>
    <row r="21" spans="8:8">
      <c r="A21">
        <v>61.0</v>
      </c>
      <c r="B21">
        <v>152478.0</v>
      </c>
      <c r="C21">
        <v>26.0</v>
      </c>
      <c r="D21">
        <v>1.06182646611546</v>
      </c>
      <c r="E21">
        <v>5.0</v>
      </c>
      <c r="F21">
        <f t="shared" si="0"/>
        <v>-1.7705600724921735</v>
      </c>
      <c r="J21" s="4" t="s">
        <v>31</v>
      </c>
      <c r="K21" s="4"/>
      <c r="L21" s="3">
        <f>CORREL($B$2:$B$101,$D$2:$D$101)</f>
        <v>-0.1642964634188468</v>
      </c>
      <c r="M21" s="3" t="s">
        <v>34</v>
      </c>
      <c r="N21" s="3"/>
    </row>
    <row r="22" spans="8:8">
      <c r="A22">
        <v>47.0</v>
      </c>
      <c r="B22">
        <v>60222.0</v>
      </c>
      <c r="C22">
        <v>3.0</v>
      </c>
      <c r="D22">
        <v>4.7132742503509</v>
      </c>
      <c r="E22">
        <v>10.0</v>
      </c>
      <c r="F22">
        <f t="shared" si="0"/>
        <v>1.3469245398960625</v>
      </c>
    </row>
    <row r="23" spans="8:8">
      <c r="A23">
        <v>55.0</v>
      </c>
      <c r="B23">
        <v>102373.0</v>
      </c>
      <c r="C23">
        <v>19.0</v>
      </c>
      <c r="D23">
        <v>2.71273659326925</v>
      </c>
      <c r="E23">
        <v>5.0</v>
      </c>
      <c r="F23">
        <f t="shared" si="0"/>
        <v>-0.36106794171109813</v>
      </c>
      <c r="H23" s="1" t="s">
        <v>35</v>
      </c>
      <c r="I23" t="s">
        <v>8</v>
      </c>
    </row>
    <row r="24" spans="8:8">
      <c r="A24">
        <v>19.0</v>
      </c>
      <c r="B24">
        <v>148684.0</v>
      </c>
      <c r="C24">
        <v>20.0</v>
      </c>
      <c r="D24">
        <v>4.86661927617467</v>
      </c>
      <c r="E24">
        <v>4.0</v>
      </c>
      <c r="F24">
        <f t="shared" si="0"/>
        <v>1.477845420226267</v>
      </c>
    </row>
    <row r="25" spans="8:8">
      <c r="A25">
        <v>38.0</v>
      </c>
      <c r="B25">
        <v>35965.0</v>
      </c>
      <c r="C25">
        <v>32.0</v>
      </c>
      <c r="D25">
        <v>4.85447990835701</v>
      </c>
      <c r="E25">
        <v>2.0</v>
      </c>
      <c r="F25">
        <f t="shared" si="0"/>
        <v>1.4674812319338686</v>
      </c>
      <c r="I25" s="5"/>
      <c r="J25" s="5" t="s">
        <v>42</v>
      </c>
      <c r="K25" s="5" t="s">
        <v>43</v>
      </c>
      <c r="L25" s="5" t="s">
        <v>44</v>
      </c>
      <c r="M25" s="5" t="s">
        <v>45</v>
      </c>
      <c r="N25" s="5" t="s">
        <v>46</v>
      </c>
      <c r="O25" s="6"/>
      <c r="P25" s="7"/>
      <c r="Q25" s="6"/>
    </row>
    <row r="26" spans="8:8">
      <c r="A26">
        <v>50.0</v>
      </c>
      <c r="B26">
        <v>49538.0</v>
      </c>
      <c r="C26">
        <v>7.0</v>
      </c>
      <c r="D26">
        <v>4.41203782186944</v>
      </c>
      <c r="E26">
        <v>10.0</v>
      </c>
      <c r="F26">
        <f t="shared" si="0"/>
        <v>1.0897389012197654</v>
      </c>
      <c r="I26" s="8"/>
      <c r="J26" s="9"/>
      <c r="K26" s="9"/>
      <c r="L26" s="9"/>
      <c r="M26" s="9"/>
      <c r="N26" s="9"/>
      <c r="O26" s="10"/>
      <c r="P26" s="7"/>
      <c r="Q26" s="10"/>
    </row>
    <row r="27" spans="8:8">
      <c r="A27">
        <v>29.0</v>
      </c>
      <c r="B27">
        <v>133066.0</v>
      </c>
      <c r="C27">
        <v>41.0</v>
      </c>
      <c r="D27">
        <v>2.17779556827834</v>
      </c>
      <c r="E27">
        <v>19.0</v>
      </c>
      <c r="F27">
        <f t="shared" si="0"/>
        <v>-0.8177827881192165</v>
      </c>
      <c r="I27" s="8" t="s">
        <v>36</v>
      </c>
      <c r="J27" s="9">
        <v>40.88</v>
      </c>
      <c r="K27" s="9">
        <v>109321.51</v>
      </c>
      <c r="L27" s="9">
        <v>24.47</v>
      </c>
      <c r="M27" s="9">
        <v>3.135648299226133</v>
      </c>
      <c r="N27" s="9">
        <v>9.96</v>
      </c>
      <c r="O27" s="10"/>
      <c r="P27" s="7"/>
      <c r="Q27" s="10"/>
    </row>
    <row r="28" spans="8:8">
      <c r="A28">
        <v>39.0</v>
      </c>
      <c r="B28">
        <v>138252.0</v>
      </c>
      <c r="C28">
        <v>33.0</v>
      </c>
      <c r="D28">
        <v>2.5403909144077</v>
      </c>
      <c r="E28">
        <v>1.0</v>
      </c>
      <c r="F28">
        <f t="shared" si="0"/>
        <v>-0.5082109473381077</v>
      </c>
      <c r="I28" s="8" t="s">
        <v>21</v>
      </c>
      <c r="J28" s="9">
        <v>41.0</v>
      </c>
      <c r="K28" s="9">
        <v>118025.5</v>
      </c>
      <c r="L28" s="9">
        <v>24.0</v>
      </c>
      <c r="M28" s="9">
        <v>3.18374259882739</v>
      </c>
      <c r="N28" s="9">
        <v>10.0</v>
      </c>
      <c r="O28" s="10"/>
      <c r="P28" s="7"/>
      <c r="Q28" s="10"/>
    </row>
    <row r="29" spans="8:8">
      <c r="A29">
        <v>61.0</v>
      </c>
      <c r="B29">
        <v>164182.0</v>
      </c>
      <c r="C29">
        <v>40.0</v>
      </c>
      <c r="D29">
        <v>4.40454668606742</v>
      </c>
      <c r="E29">
        <v>5.0</v>
      </c>
      <c r="F29">
        <f t="shared" si="0"/>
        <v>1.0833432187474774</v>
      </c>
      <c r="I29" s="8" t="s">
        <v>22</v>
      </c>
      <c r="J29" s="9">
        <v>61.0</v>
      </c>
      <c r="K29" s="9" t="e">
        <v>#N/A</v>
      </c>
      <c r="L29" s="9">
        <v>48.0</v>
      </c>
      <c r="M29" s="9" t="e">
        <v>#N/A</v>
      </c>
      <c r="N29" s="9">
        <v>5.0</v>
      </c>
      <c r="O29" s="10"/>
      <c r="P29" s="7"/>
      <c r="Q29" s="10"/>
    </row>
    <row r="30" spans="8:8">
      <c r="A30">
        <v>42.0</v>
      </c>
      <c r="B30">
        <v>123806.0</v>
      </c>
      <c r="C30">
        <v>39.0</v>
      </c>
      <c r="D30">
        <v>2.26768802062511</v>
      </c>
      <c r="E30">
        <v>13.0</v>
      </c>
      <c r="F30">
        <f t="shared" si="0"/>
        <v>-0.7410356035720941</v>
      </c>
      <c r="I30" s="8" t="s">
        <v>24</v>
      </c>
      <c r="J30" s="9">
        <v>13.990819500766575</v>
      </c>
      <c r="K30" s="9">
        <v>44418.0863245736</v>
      </c>
      <c r="L30" s="9">
        <v>13.994555218283137</v>
      </c>
      <c r="M30" s="9">
        <v>1.1712801306942608</v>
      </c>
      <c r="N30" s="9">
        <v>5.820409926901345</v>
      </c>
      <c r="O30" s="10"/>
      <c r="P30" s="7"/>
      <c r="Q30" s="10"/>
    </row>
    <row r="31" spans="8:8">
      <c r="A31">
        <v>44.0</v>
      </c>
      <c r="B31">
        <v>162982.0</v>
      </c>
      <c r="C31">
        <v>18.0</v>
      </c>
      <c r="D31">
        <v>1.67797098674437</v>
      </c>
      <c r="E31">
        <v>4.0</v>
      </c>
      <c r="F31">
        <f t="shared" si="0"/>
        <v>-1.2445163836406445</v>
      </c>
      <c r="I31" s="8" t="s">
        <v>25</v>
      </c>
      <c r="J31" s="9">
        <v>195.74303030303028</v>
      </c>
      <c r="K31" s="9">
        <v>1.9729663927372727E9</v>
      </c>
      <c r="L31" s="9">
        <v>195.84757575757578</v>
      </c>
      <c r="M31" s="9">
        <v>1.3718971445591648</v>
      </c>
      <c r="N31" s="9">
        <v>33.87717171717172</v>
      </c>
      <c r="O31" s="10"/>
      <c r="P31" s="7"/>
      <c r="Q31" s="10"/>
    </row>
    <row r="32" spans="8:8">
      <c r="A32">
        <v>59.0</v>
      </c>
      <c r="B32">
        <v>135989.0</v>
      </c>
      <c r="C32">
        <v>40.0</v>
      </c>
      <c r="D32">
        <v>3.2272050498334</v>
      </c>
      <c r="E32">
        <v>16.0</v>
      </c>
      <c r="F32">
        <f t="shared" si="0"/>
        <v>0.07816810702064769</v>
      </c>
      <c r="I32" s="8" t="s">
        <v>29</v>
      </c>
      <c r="J32" s="9">
        <v>-1.1665488564043374</v>
      </c>
      <c r="K32" s="9">
        <v>-1.2236234886974053</v>
      </c>
      <c r="L32" s="9">
        <v>-1.055159061973828</v>
      </c>
      <c r="M32" s="9">
        <v>-1.1378841235790116</v>
      </c>
      <c r="N32" s="9">
        <v>-1.366491096177314</v>
      </c>
      <c r="O32" s="10"/>
      <c r="P32" s="7"/>
      <c r="Q32" s="10"/>
    </row>
    <row r="33" spans="8:8">
      <c r="A33">
        <v>45.0</v>
      </c>
      <c r="B33">
        <v>115982.0</v>
      </c>
      <c r="C33">
        <v>1.0</v>
      </c>
      <c r="D33">
        <v>4.74461909664312</v>
      </c>
      <c r="E33">
        <v>16.0</v>
      </c>
      <c r="F33">
        <f t="shared" si="0"/>
        <v>1.3736857266274047</v>
      </c>
      <c r="I33" s="8" t="s">
        <v>28</v>
      </c>
      <c r="J33" s="9">
        <v>0.07916633144467038</v>
      </c>
      <c r="K33" s="9">
        <v>-0.25307872181127566</v>
      </c>
      <c r="L33" s="9">
        <v>0.04866360190409215</v>
      </c>
      <c r="M33" s="9">
        <v>-0.16614507010916194</v>
      </c>
      <c r="N33" s="9">
        <v>0.03776557890851966</v>
      </c>
      <c r="O33" s="10"/>
      <c r="P33" s="7"/>
      <c r="Q33" s="10"/>
    </row>
    <row r="34" spans="8:8">
      <c r="A34">
        <v>33.0</v>
      </c>
      <c r="B34">
        <v>146626.0</v>
      </c>
      <c r="C34">
        <v>11.0</v>
      </c>
      <c r="D34">
        <v>3.78411918669989</v>
      </c>
      <c r="E34">
        <v>2.0</v>
      </c>
      <c r="F34">
        <f t="shared" si="0"/>
        <v>0.5536428651695682</v>
      </c>
      <c r="I34" s="8" t="s">
        <v>37</v>
      </c>
      <c r="J34" s="9">
        <v>46.0</v>
      </c>
      <c r="K34" s="9">
        <v>152043.0</v>
      </c>
      <c r="L34" s="9">
        <v>48.0</v>
      </c>
      <c r="M34" s="9">
        <v>3.8983889343015896</v>
      </c>
      <c r="N34" s="9">
        <v>18.0</v>
      </c>
      <c r="O34" s="10"/>
      <c r="P34" s="7"/>
      <c r="Q34" s="10"/>
    </row>
    <row r="35" spans="8:8">
      <c r="A35">
        <v>32.0</v>
      </c>
      <c r="B35">
        <v>144176.0</v>
      </c>
      <c r="C35">
        <v>28.0</v>
      </c>
      <c r="D35">
        <v>3.28024468035746</v>
      </c>
      <c r="E35">
        <v>17.0</v>
      </c>
      <c r="F35">
        <f t="shared" si="0"/>
        <v>0.12345157861221405</v>
      </c>
      <c r="I35" s="8" t="s">
        <v>38</v>
      </c>
      <c r="J35" s="9">
        <v>18.0</v>
      </c>
      <c r="K35" s="9">
        <v>27693.0</v>
      </c>
      <c r="L35" s="9">
        <v>1.0</v>
      </c>
      <c r="M35" s="9">
        <v>1.06182646611546</v>
      </c>
      <c r="N35" s="9">
        <v>1.0</v>
      </c>
      <c r="O35" s="10"/>
      <c r="P35" s="7"/>
      <c r="Q35" s="10"/>
    </row>
    <row r="36" spans="8:8">
      <c r="A36">
        <v>64.0</v>
      </c>
      <c r="B36">
        <v>156278.0</v>
      </c>
      <c r="C36">
        <v>25.0</v>
      </c>
      <c r="D36">
        <v>1.38870597508307</v>
      </c>
      <c r="E36">
        <v>12.0</v>
      </c>
      <c r="F36">
        <f t="shared" si="0"/>
        <v>-1.4914812249974616</v>
      </c>
      <c r="I36" s="8" t="s">
        <v>39</v>
      </c>
      <c r="J36" s="9">
        <v>64.0</v>
      </c>
      <c r="K36" s="9">
        <v>179736.0</v>
      </c>
      <c r="L36" s="9">
        <v>49.0</v>
      </c>
      <c r="M36" s="9">
        <v>4.96021540041705</v>
      </c>
      <c r="N36" s="9">
        <v>19.0</v>
      </c>
      <c r="O36" s="10"/>
      <c r="P36" s="7"/>
      <c r="Q36" s="10"/>
    </row>
    <row r="37" spans="8:8">
      <c r="A37">
        <v>61.0</v>
      </c>
      <c r="B37">
        <v>147409.0</v>
      </c>
      <c r="C37">
        <v>23.0</v>
      </c>
      <c r="D37">
        <v>3.46002890679667</v>
      </c>
      <c r="E37">
        <v>18.0</v>
      </c>
      <c r="F37">
        <f t="shared" si="0"/>
        <v>0.2769453686354816</v>
      </c>
      <c r="I37" s="8" t="s">
        <v>40</v>
      </c>
      <c r="J37" s="9">
        <v>4088.0</v>
      </c>
      <c r="K37" s="9">
        <v>1.0932151E7</v>
      </c>
      <c r="L37" s="9">
        <v>2447.0</v>
      </c>
      <c r="M37" s="9">
        <v>313.5648299226133</v>
      </c>
      <c r="N37" s="9">
        <v>996.0</v>
      </c>
      <c r="O37" s="10"/>
      <c r="P37" s="7"/>
      <c r="Q37" s="10"/>
    </row>
    <row r="38" spans="8:8">
      <c r="A38">
        <v>20.0</v>
      </c>
      <c r="B38">
        <v>48419.0</v>
      </c>
      <c r="C38">
        <v>31.0</v>
      </c>
      <c r="D38">
        <v>4.96021540041705</v>
      </c>
      <c r="E38">
        <v>3.0</v>
      </c>
      <c r="F38">
        <f t="shared" si="0"/>
        <v>1.5577546765942563</v>
      </c>
      <c r="I38" s="8" t="s">
        <v>41</v>
      </c>
      <c r="J38" s="9">
        <v>100.0</v>
      </c>
      <c r="K38" s="9">
        <v>100.0</v>
      </c>
      <c r="L38" s="9">
        <v>100.0</v>
      </c>
      <c r="M38" s="9">
        <v>100.0</v>
      </c>
      <c r="N38" s="9">
        <v>100.0</v>
      </c>
      <c r="O38" s="10"/>
      <c r="P38" s="7"/>
      <c r="Q38" s="10"/>
    </row>
    <row r="39" spans="8:8">
      <c r="A39">
        <v>54.0</v>
      </c>
      <c r="B39">
        <v>75015.0</v>
      </c>
      <c r="C39">
        <v>30.0</v>
      </c>
      <c r="D39">
        <v>1.56033606094609</v>
      </c>
      <c r="E39">
        <v>1.0</v>
      </c>
      <c r="F39">
        <f t="shared" si="0"/>
        <v>-1.3449491688604822</v>
      </c>
    </row>
    <row r="40" spans="8:8">
      <c r="A40">
        <v>24.0</v>
      </c>
      <c r="B40">
        <v>147096.0</v>
      </c>
      <c r="C40">
        <v>42.0</v>
      </c>
      <c r="D40">
        <v>3.07331860945494</v>
      </c>
      <c r="E40">
        <v>1.0</v>
      </c>
      <c r="F40">
        <f t="shared" si="0"/>
        <v>-0.05321501504020906</v>
      </c>
      <c r="H40" s="1" t="s">
        <v>47</v>
      </c>
      <c r="I40" t="s">
        <v>9</v>
      </c>
    </row>
    <row r="41" spans="8:8">
      <c r="A41">
        <v>38.0</v>
      </c>
      <c r="B41">
        <v>132059.0</v>
      </c>
      <c r="C41">
        <v>35.0</v>
      </c>
      <c r="D41">
        <v>4.50949228771182</v>
      </c>
      <c r="E41">
        <v>19.0</v>
      </c>
      <c r="F41">
        <f t="shared" si="0"/>
        <v>1.1729422812554324</v>
      </c>
    </row>
    <row r="42" spans="8:8">
      <c r="A42">
        <v>26.0</v>
      </c>
      <c r="B42">
        <v>135687.0</v>
      </c>
      <c r="C42">
        <v>7.0</v>
      </c>
      <c r="D42">
        <v>3.96307447101681</v>
      </c>
      <c r="E42">
        <v>11.0</v>
      </c>
      <c r="F42">
        <f t="shared" si="0"/>
        <v>0.7064289319927516</v>
      </c>
    </row>
    <row r="43" spans="8:8">
      <c r="A43">
        <v>56.0</v>
      </c>
      <c r="B43">
        <v>112939.0</v>
      </c>
      <c r="C43">
        <v>16.0</v>
      </c>
      <c r="D43">
        <v>3.78806296398107</v>
      </c>
      <c r="E43">
        <v>5.0</v>
      </c>
      <c r="F43">
        <f t="shared" si="0"/>
        <v>0.5570099309788743</v>
      </c>
      <c r="N43" t="s">
        <v>48</v>
      </c>
    </row>
    <row r="44" spans="8:8">
      <c r="A44">
        <v>35.0</v>
      </c>
      <c r="B44">
        <v>174213.0</v>
      </c>
      <c r="C44">
        <v>26.0</v>
      </c>
      <c r="D44">
        <v>3.80993633594843</v>
      </c>
      <c r="E44">
        <v>12.0</v>
      </c>
      <c r="F44">
        <f t="shared" si="0"/>
        <v>0.5756846881049896</v>
      </c>
    </row>
    <row r="45" spans="8:8">
      <c r="A45">
        <v>21.0</v>
      </c>
      <c r="B45">
        <v>130878.0</v>
      </c>
      <c r="C45">
        <v>48.0</v>
      </c>
      <c r="D45">
        <v>2.43796460487902</v>
      </c>
      <c r="E45">
        <v>3.0</v>
      </c>
      <c r="F45">
        <f t="shared" si="0"/>
        <v>-0.5956591220697737</v>
      </c>
    </row>
    <row r="46" spans="8:8">
      <c r="A46">
        <v>42.0</v>
      </c>
      <c r="B46">
        <v>87623.0</v>
      </c>
      <c r="C46">
        <v>49.0</v>
      </c>
      <c r="D46">
        <v>2.17436737705797</v>
      </c>
      <c r="E46">
        <v>1.0</v>
      </c>
      <c r="F46">
        <f t="shared" si="0"/>
        <v>-0.8207096637064751</v>
      </c>
    </row>
    <row r="47" spans="8:8">
      <c r="A47">
        <v>31.0</v>
      </c>
      <c r="B47">
        <v>100450.0</v>
      </c>
      <c r="C47">
        <v>2.0</v>
      </c>
      <c r="D47">
        <v>4.23744462191405</v>
      </c>
      <c r="E47">
        <v>1.0</v>
      </c>
      <c r="F47">
        <f t="shared" si="0"/>
        <v>0.94067703687148</v>
      </c>
    </row>
    <row r="48" spans="8:8">
      <c r="A48">
        <v>26.0</v>
      </c>
      <c r="B48">
        <v>118426.0</v>
      </c>
      <c r="C48">
        <v>1.0</v>
      </c>
      <c r="D48">
        <v>4.24045357871672</v>
      </c>
      <c r="E48">
        <v>8.0</v>
      </c>
      <c r="F48">
        <f t="shared" si="0"/>
        <v>0.9432459840633757</v>
      </c>
    </row>
    <row r="49" spans="8:8">
      <c r="A49">
        <v>43.0</v>
      </c>
      <c r="B49">
        <v>142845.0</v>
      </c>
      <c r="C49">
        <v>48.0</v>
      </c>
      <c r="D49">
        <v>4.46828927432041</v>
      </c>
      <c r="E49">
        <v>10.0</v>
      </c>
      <c r="F49">
        <f t="shared" si="0"/>
        <v>1.137764519495752</v>
      </c>
    </row>
    <row r="50" spans="8:8">
      <c r="A50">
        <v>19.0</v>
      </c>
      <c r="B50">
        <v>178371.0</v>
      </c>
      <c r="C50">
        <v>12.0</v>
      </c>
      <c r="D50">
        <v>4.65296221022588</v>
      </c>
      <c r="E50">
        <v>11.0</v>
      </c>
      <c r="F50">
        <f t="shared" si="0"/>
        <v>1.295432126984327</v>
      </c>
    </row>
    <row r="51" spans="8:8">
      <c r="A51">
        <v>37.0</v>
      </c>
      <c r="B51">
        <v>68585.0</v>
      </c>
      <c r="C51">
        <v>5.0</v>
      </c>
      <c r="D51">
        <v>3.04536959544375</v>
      </c>
      <c r="E51">
        <v>12.0</v>
      </c>
      <c r="F51">
        <f t="shared" si="0"/>
        <v>-0.07707695316992325</v>
      </c>
    </row>
    <row r="52" spans="8:8">
      <c r="A52">
        <v>45.0</v>
      </c>
      <c r="B52">
        <v>134225.0</v>
      </c>
      <c r="C52">
        <v>37.0</v>
      </c>
      <c r="D52">
        <v>3.00606517874879</v>
      </c>
      <c r="E52">
        <v>13.0</v>
      </c>
      <c r="F52">
        <f t="shared" si="0"/>
        <v>-0.11063375624799023</v>
      </c>
      <c r="H52" s="1" t="s">
        <v>49</v>
      </c>
      <c r="I52" t="s">
        <v>10</v>
      </c>
    </row>
    <row r="53" spans="8:8">
      <c r="A53">
        <v>64.0</v>
      </c>
      <c r="B53">
        <v>89044.0</v>
      </c>
      <c r="C53">
        <v>32.0</v>
      </c>
      <c r="D53">
        <v>4.1931807158671</v>
      </c>
      <c r="E53">
        <v>12.0</v>
      </c>
      <c r="F53">
        <f t="shared" si="0"/>
        <v>0.9028859868169439</v>
      </c>
    </row>
    <row r="54" spans="8:8">
      <c r="A54">
        <v>24.0</v>
      </c>
      <c r="B54">
        <v>134556.0</v>
      </c>
      <c r="C54">
        <v>9.0</v>
      </c>
      <c r="D54">
        <v>3.59985572311106</v>
      </c>
      <c r="E54">
        <v>14.0</v>
      </c>
      <c r="F54">
        <f t="shared" si="0"/>
        <v>0.39632485151931535</v>
      </c>
      <c r="J54" s="2" t="s">
        <v>50</v>
      </c>
      <c r="K54" s="3"/>
      <c r="L54" s="3">
        <f>AVERAGE($D$2:$D$101)</f>
        <v>3.135648299226133</v>
      </c>
      <c r="M54" s="3"/>
    </row>
    <row r="55" spans="8:8">
      <c r="A55">
        <v>61.0</v>
      </c>
      <c r="B55">
        <v>27693.0</v>
      </c>
      <c r="C55">
        <v>41.0</v>
      </c>
      <c r="D55">
        <v>3.80786750903081</v>
      </c>
      <c r="E55">
        <v>2.0</v>
      </c>
      <c r="F55">
        <f t="shared" si="0"/>
        <v>0.5739183925251321</v>
      </c>
      <c r="J55" s="2" t="s">
        <v>51</v>
      </c>
      <c r="K55" s="3"/>
      <c r="L55" s="3">
        <v>1.1712801306942608</v>
      </c>
      <c r="M55" s="3"/>
    </row>
    <row r="56" spans="8:8">
      <c r="A56">
        <v>25.0</v>
      </c>
      <c r="B56">
        <v>120259.0</v>
      </c>
      <c r="C56">
        <v>35.0</v>
      </c>
      <c r="D56">
        <v>4.1831706777444</v>
      </c>
      <c r="E56">
        <v>19.0</v>
      </c>
      <c r="F56">
        <f t="shared" si="0"/>
        <v>0.8943397493624021</v>
      </c>
      <c r="J56" s="11" t="s">
        <v>53</v>
      </c>
      <c r="K56" s="11"/>
      <c r="L56" s="11"/>
      <c r="M56" s="11"/>
    </row>
    <row r="57" spans="8:8">
      <c r="A57">
        <v>64.0</v>
      </c>
      <c r="B57">
        <v>50939.0</v>
      </c>
      <c r="C57">
        <v>19.0</v>
      </c>
      <c r="D57">
        <v>4.56002136727026</v>
      </c>
      <c r="E57">
        <v>18.0</v>
      </c>
      <c r="F57">
        <f t="shared" si="0"/>
        <v>1.2160823279737947</v>
      </c>
    </row>
    <row r="58" spans="8:8">
      <c r="A58">
        <v>52.0</v>
      </c>
      <c r="B58">
        <v>177906.0</v>
      </c>
      <c r="C58">
        <v>48.0</v>
      </c>
      <c r="D58">
        <v>2.35198062740614</v>
      </c>
      <c r="E58">
        <v>3.0</v>
      </c>
      <c r="F58">
        <f t="shared" si="0"/>
        <v>-0.669069380828209</v>
      </c>
      <c r="H58" s="1" t="s">
        <v>54</v>
      </c>
      <c r="I58" t="s">
        <v>11</v>
      </c>
    </row>
    <row r="59" spans="8:8">
      <c r="A59">
        <v>31.0</v>
      </c>
      <c r="B59">
        <v>43047.0</v>
      </c>
      <c r="C59">
        <v>16.0</v>
      </c>
      <c r="D59">
        <v>2.50233181055977</v>
      </c>
      <c r="E59">
        <v>17.0</v>
      </c>
      <c r="F59">
        <f t="shared" si="0"/>
        <v>-0.5407045437464846</v>
      </c>
    </row>
    <row r="60" spans="8:8">
      <c r="A60">
        <v>34.0</v>
      </c>
      <c r="B60">
        <v>51105.0</v>
      </c>
      <c r="C60">
        <v>3.0</v>
      </c>
      <c r="D60">
        <v>1.37592775936347</v>
      </c>
      <c r="E60">
        <v>8.0</v>
      </c>
      <c r="F60">
        <f t="shared" si="0"/>
        <v>-1.5023908403701955</v>
      </c>
      <c r="I60" s="4" t="s">
        <v>55</v>
      </c>
      <c r="J60" s="4"/>
      <c r="K60" s="4"/>
      <c r="L60" s="3">
        <v>0.40630692280570957</v>
      </c>
    </row>
    <row r="61" spans="8:8">
      <c r="A61">
        <v>53.0</v>
      </c>
      <c r="B61">
        <v>100766.0</v>
      </c>
      <c r="C61">
        <v>20.0</v>
      </c>
      <c r="D61">
        <v>3.31312056398469</v>
      </c>
      <c r="E61">
        <v>10.0</v>
      </c>
      <c r="F61">
        <f t="shared" si="0"/>
        <v>0.1515199140732993</v>
      </c>
    </row>
    <row r="62" spans="8:8">
      <c r="A62">
        <v>57.0</v>
      </c>
      <c r="B62">
        <v>171779.0</v>
      </c>
      <c r="C62">
        <v>24.0</v>
      </c>
      <c r="D62">
        <v>1.14376909518696</v>
      </c>
      <c r="E62">
        <v>2.0</v>
      </c>
      <c r="F62">
        <f t="shared" si="0"/>
        <v>-1.7006001825186883</v>
      </c>
      <c r="H62" s="1" t="s">
        <v>56</v>
      </c>
      <c r="I62" t="s">
        <v>12</v>
      </c>
    </row>
    <row r="63" spans="8:8">
      <c r="A63">
        <v>21.0</v>
      </c>
      <c r="B63">
        <v>178048.0</v>
      </c>
      <c r="C63">
        <v>33.0</v>
      </c>
      <c r="D63">
        <v>2.86239207252984</v>
      </c>
      <c r="E63">
        <v>19.0</v>
      </c>
      <c r="F63">
        <f t="shared" si="0"/>
        <v>-0.23329707346296719</v>
      </c>
    </row>
    <row r="64" spans="8:8">
      <c r="A64">
        <v>19.0</v>
      </c>
      <c r="B64">
        <v>69262.0</v>
      </c>
      <c r="C64">
        <v>24.0</v>
      </c>
      <c r="D64">
        <v>3.1705785388303</v>
      </c>
      <c r="E64">
        <v>9.0</v>
      </c>
      <c r="F64">
        <f t="shared" si="0"/>
        <v>0.029822276233322953</v>
      </c>
      <c r="I64" s="4" t="s">
        <v>57</v>
      </c>
      <c r="J64" s="3">
        <v>13.5</v>
      </c>
    </row>
    <row r="65" spans="8:8">
      <c r="A65">
        <v>23.0</v>
      </c>
      <c r="B65">
        <v>150117.0</v>
      </c>
      <c r="C65">
        <v>11.0</v>
      </c>
      <c r="D65">
        <v>2.14616500851313</v>
      </c>
      <c r="E65">
        <v>7.0</v>
      </c>
      <c r="F65">
        <f t="shared" si="0"/>
        <v>-0.8447879075063791</v>
      </c>
      <c r="I65" s="4" t="s">
        <v>58</v>
      </c>
      <c r="J65" s="3">
        <v>24.0</v>
      </c>
    </row>
    <row r="66" spans="8:8">
      <c r="A66">
        <v>59.0</v>
      </c>
      <c r="B66">
        <v>48776.0</v>
      </c>
      <c r="C66">
        <v>49.0</v>
      </c>
      <c r="D66">
        <v>3.36333304227604</v>
      </c>
      <c r="E66">
        <v>4.0</v>
      </c>
      <c r="F66">
        <f t="shared" si="0"/>
        <v>0.19438965716506248</v>
      </c>
      <c r="I66" s="4" t="s">
        <v>59</v>
      </c>
      <c r="J66" s="3">
        <v>35.0</v>
      </c>
    </row>
    <row r="67" spans="8:8">
      <c r="A67">
        <v>21.0</v>
      </c>
      <c r="B67">
        <v>153376.0</v>
      </c>
      <c r="C67">
        <v>8.0</v>
      </c>
      <c r="D67">
        <v>1.12200099975619</v>
      </c>
      <c r="E67">
        <v>18.0</v>
      </c>
      <c r="F67">
        <f t="shared" si="1" ref="F67:F101">(D67-$L$54)/$L$55</f>
        <v>-1.719185058041051</v>
      </c>
      <c r="I67" s="12" t="s">
        <v>60</v>
      </c>
      <c r="J67" s="12">
        <f>J66-J64</f>
        <v>21.5</v>
      </c>
    </row>
    <row r="68" spans="8:8">
      <c r="A68">
        <v>46.0</v>
      </c>
      <c r="B68">
        <v>162848.0</v>
      </c>
      <c r="C68">
        <v>36.0</v>
      </c>
      <c r="D68">
        <v>1.14939275499685</v>
      </c>
      <c r="E68">
        <v>13.0</v>
      </c>
      <c r="F68">
        <f t="shared" si="1"/>
        <v>-1.6957988889062399</v>
      </c>
    </row>
    <row r="69" spans="8:8">
      <c r="A69">
        <v>35.0</v>
      </c>
      <c r="B69">
        <v>117787.0</v>
      </c>
      <c r="C69">
        <v>38.0</v>
      </c>
      <c r="D69">
        <v>4.29040224263863</v>
      </c>
      <c r="E69">
        <v>11.0</v>
      </c>
      <c r="F69">
        <f t="shared" si="1"/>
        <v>0.9858904912252138</v>
      </c>
      <c r="H69" s="1" t="s">
        <v>61</v>
      </c>
      <c r="I69" t="s">
        <v>13</v>
      </c>
    </row>
    <row r="70" spans="8:8">
      <c r="A70">
        <v>43.0</v>
      </c>
      <c r="B70">
        <v>152948.0</v>
      </c>
      <c r="C70">
        <v>40.0</v>
      </c>
      <c r="D70">
        <v>2.44076256564505</v>
      </c>
      <c r="E70">
        <v>4.0</v>
      </c>
      <c r="F70">
        <f t="shared" si="1"/>
        <v>-0.5932703162728449</v>
      </c>
    </row>
    <row r="71" spans="8:8">
      <c r="A71">
        <v>61.0</v>
      </c>
      <c r="B71">
        <v>80016.0</v>
      </c>
      <c r="C71">
        <v>20.0</v>
      </c>
      <c r="D71">
        <v>1.50824205060753</v>
      </c>
      <c r="E71">
        <v>4.0</v>
      </c>
      <c r="F71">
        <f t="shared" si="1"/>
        <v>-1.389425301404182</v>
      </c>
      <c r="I71" s="13"/>
      <c r="J71" s="5" t="s">
        <v>0</v>
      </c>
      <c r="K71" s="5" t="s">
        <v>1</v>
      </c>
      <c r="L71" s="5" t="s">
        <v>2</v>
      </c>
      <c r="M71" s="5" t="s">
        <v>3</v>
      </c>
      <c r="N71" s="5" t="s">
        <v>4</v>
      </c>
      <c r="O71" s="5" t="s">
        <v>52</v>
      </c>
      <c r="P71" s="14"/>
    </row>
    <row r="72" spans="8:8">
      <c r="A72">
        <v>51.0</v>
      </c>
      <c r="B72">
        <v>165546.0</v>
      </c>
      <c r="C72">
        <v>35.0</v>
      </c>
      <c r="D72">
        <v>3.08897304021921</v>
      </c>
      <c r="E72">
        <v>10.0</v>
      </c>
      <c r="F72">
        <f t="shared" si="1"/>
        <v>-0.03984978297143733</v>
      </c>
      <c r="I72" s="8" t="s">
        <v>0</v>
      </c>
      <c r="J72" s="9">
        <v>1.0</v>
      </c>
      <c r="K72" s="9"/>
      <c r="L72" s="9"/>
      <c r="M72" s="9"/>
      <c r="N72" s="9"/>
      <c r="O72" s="9"/>
    </row>
    <row r="73" spans="8:8">
      <c r="A73">
        <v>27.0</v>
      </c>
      <c r="B73">
        <v>46959.0</v>
      </c>
      <c r="C73">
        <v>48.0</v>
      </c>
      <c r="D73">
        <v>4.07997421239444</v>
      </c>
      <c r="E73">
        <v>5.0</v>
      </c>
      <c r="F73">
        <f t="shared" si="1"/>
        <v>0.8062340412182781</v>
      </c>
      <c r="I73" s="8" t="s">
        <v>1</v>
      </c>
      <c r="J73" s="9">
        <v>-0.0176583580121575</v>
      </c>
      <c r="K73" s="9">
        <v>1.0</v>
      </c>
      <c r="L73" s="9"/>
      <c r="M73" s="9"/>
      <c r="N73" s="9"/>
      <c r="O73" s="9"/>
    </row>
    <row r="74" spans="8:8">
      <c r="A74">
        <v>53.0</v>
      </c>
      <c r="B74">
        <v>161602.0</v>
      </c>
      <c r="C74">
        <v>25.0</v>
      </c>
      <c r="D74">
        <v>1.86328410998737</v>
      </c>
      <c r="E74">
        <v>9.0</v>
      </c>
      <c r="F74">
        <f t="shared" si="1"/>
        <v>-1.0863022055061975</v>
      </c>
      <c r="I74" s="8" t="s">
        <v>2</v>
      </c>
      <c r="J74" s="9">
        <v>0.06126992771647757</v>
      </c>
      <c r="K74" s="9">
        <v>-0.001556235123510184</v>
      </c>
      <c r="L74" s="9">
        <v>1.0</v>
      </c>
      <c r="M74" s="9"/>
      <c r="N74" s="9"/>
      <c r="O74" s="9"/>
    </row>
    <row r="75" spans="8:8">
      <c r="A75">
        <v>31.0</v>
      </c>
      <c r="B75">
        <v>144101.0</v>
      </c>
      <c r="C75">
        <v>35.0</v>
      </c>
      <c r="D75">
        <v>3.491561903276</v>
      </c>
      <c r="E75">
        <v>3.0</v>
      </c>
      <c r="F75">
        <f t="shared" si="1"/>
        <v>0.3038671917356816</v>
      </c>
      <c r="I75" s="8" t="s">
        <v>3</v>
      </c>
      <c r="J75" s="9">
        <v>-0.10558671521325771</v>
      </c>
      <c r="K75" s="9">
        <v>-0.1642964634188468</v>
      </c>
      <c r="L75" s="9">
        <v>0.024925181823867867</v>
      </c>
      <c r="M75" s="9">
        <v>1.0</v>
      </c>
      <c r="N75" s="9"/>
      <c r="O75" s="9"/>
    </row>
    <row r="76" spans="8:8">
      <c r="A76">
        <v>48.0</v>
      </c>
      <c r="B76">
        <v>28748.0</v>
      </c>
      <c r="C76">
        <v>25.0</v>
      </c>
      <c r="D76">
        <v>1.34138985997507</v>
      </c>
      <c r="E76">
        <v>17.0</v>
      </c>
      <c r="F76">
        <f t="shared" si="1"/>
        <v>-1.5318781495828329</v>
      </c>
      <c r="I76" s="8" t="s">
        <v>4</v>
      </c>
      <c r="J76" s="9">
        <v>-0.012339678809961185</v>
      </c>
      <c r="K76" s="9">
        <v>-0.07823875897567838</v>
      </c>
      <c r="L76" s="9">
        <v>-0.16184622628463602</v>
      </c>
      <c r="M76" s="9">
        <v>0.08820079373932486</v>
      </c>
      <c r="N76" s="9">
        <v>1.0</v>
      </c>
      <c r="O76" s="9"/>
    </row>
    <row r="77" spans="8:8">
      <c r="A77">
        <v>32.0</v>
      </c>
      <c r="B77">
        <v>38545.0</v>
      </c>
      <c r="C77">
        <v>29.0</v>
      </c>
      <c r="D77">
        <v>1.20672688467443</v>
      </c>
      <c r="E77">
        <v>3.0</v>
      </c>
      <c r="F77">
        <f t="shared" si="1"/>
        <v>-1.6468489168414053</v>
      </c>
      <c r="I77" s="8" t="s">
        <v>52</v>
      </c>
      <c r="J77" s="9">
        <v>-0.10558671521325774</v>
      </c>
      <c r="K77" s="9">
        <v>-0.16429646341884668</v>
      </c>
      <c r="L77" s="9">
        <v>0.02492518182386781</v>
      </c>
      <c r="M77" s="9">
        <v>0.9999999999999994</v>
      </c>
      <c r="N77" s="9">
        <v>0.08820079373932486</v>
      </c>
      <c r="O77" s="9">
        <v>1.0</v>
      </c>
    </row>
    <row r="78" spans="8:8">
      <c r="A78">
        <v>25.0</v>
      </c>
      <c r="B78">
        <v>152659.0</v>
      </c>
      <c r="C78">
        <v>18.0</v>
      </c>
      <c r="D78">
        <v>3.12541852627259</v>
      </c>
      <c r="E78">
        <v>16.0</v>
      </c>
      <c r="F78">
        <f t="shared" si="1"/>
        <v>-0.008733839741206237</v>
      </c>
    </row>
    <row r="79" spans="8:8">
      <c r="A79">
        <v>31.0</v>
      </c>
      <c r="B79">
        <v>98530.0</v>
      </c>
      <c r="C79">
        <v>46.0</v>
      </c>
      <c r="D79">
        <v>3.16254048644042</v>
      </c>
      <c r="E79">
        <v>4.0</v>
      </c>
      <c r="F79">
        <f t="shared" si="1"/>
        <v>0.02295965457754917</v>
      </c>
      <c r="H79" s="1" t="s">
        <v>62</v>
      </c>
      <c r="I79" t="s">
        <v>14</v>
      </c>
    </row>
    <row r="80" spans="8:8">
      <c r="A80">
        <v>40.0</v>
      </c>
      <c r="B80">
        <v>118557.0</v>
      </c>
      <c r="C80">
        <v>18.0</v>
      </c>
      <c r="D80">
        <v>3.54971960599282</v>
      </c>
      <c r="E80">
        <v>18.0</v>
      </c>
      <c r="F80">
        <f t="shared" si="1"/>
        <v>0.35352030305615423</v>
      </c>
    </row>
    <row r="81" spans="8:8">
      <c r="A81">
        <v>57.0</v>
      </c>
      <c r="B81">
        <v>86087.0</v>
      </c>
      <c r="C81">
        <v>2.0</v>
      </c>
      <c r="D81">
        <v>3.90436533489064</v>
      </c>
      <c r="E81">
        <v>17.0</v>
      </c>
      <c r="F81">
        <f t="shared" si="1"/>
        <v>0.6563050251769064</v>
      </c>
      <c r="I81" s="2" t="s">
        <v>63</v>
      </c>
      <c r="J81" s="2"/>
      <c r="K81" s="3">
        <f>MAX($A$2:$A$101)-MIN($A$2:$A$101)</f>
        <v>46.0</v>
      </c>
    </row>
    <row r="82" spans="8:8">
      <c r="A82">
        <v>38.0</v>
      </c>
      <c r="B82">
        <v>93840.0</v>
      </c>
      <c r="C82">
        <v>35.0</v>
      </c>
      <c r="D82">
        <v>4.90340831785013</v>
      </c>
      <c r="E82">
        <v>7.0</v>
      </c>
      <c r="F82">
        <f t="shared" si="1"/>
        <v>1.5092546798144528</v>
      </c>
      <c r="I82" s="2" t="s">
        <v>64</v>
      </c>
      <c r="J82" s="2"/>
      <c r="K82" s="3">
        <f>MAX($B$2:$B$101)-MIN($B$2:$B$101)</f>
        <v>152043.0</v>
      </c>
    </row>
    <row r="83" spans="8:8">
      <c r="A83">
        <v>33.0</v>
      </c>
      <c r="B83">
        <v>143451.0</v>
      </c>
      <c r="C83">
        <v>16.0</v>
      </c>
      <c r="D83">
        <v>3.06520139320478</v>
      </c>
      <c r="E83">
        <v>5.0</v>
      </c>
      <c r="F83">
        <f t="shared" si="1"/>
        <v>-0.060145224165628584</v>
      </c>
    </row>
    <row r="84" spans="8:8">
      <c r="A84">
        <v>62.0</v>
      </c>
      <c r="B84">
        <v>76005.0</v>
      </c>
      <c r="C84">
        <v>41.0</v>
      </c>
      <c r="D84">
        <v>2.29182589176498</v>
      </c>
      <c r="E84">
        <v>12.0</v>
      </c>
      <c r="F84">
        <f t="shared" si="1"/>
        <v>-0.720427492406098</v>
      </c>
    </row>
    <row r="85" spans="8:8">
      <c r="A85">
        <v>35.0</v>
      </c>
      <c r="B85">
        <v>64353.0</v>
      </c>
      <c r="C85">
        <v>36.0</v>
      </c>
      <c r="D85">
        <v>4.18074477907481</v>
      </c>
      <c r="E85">
        <v>17.0</v>
      </c>
      <c r="F85">
        <f t="shared" si="1"/>
        <v>0.8922685978026534</v>
      </c>
      <c r="H85" s="1" t="s">
        <v>65</v>
      </c>
      <c r="I85" t="s">
        <v>15</v>
      </c>
    </row>
    <row r="86" spans="8:8">
      <c r="A86">
        <v>64.0</v>
      </c>
      <c r="B86">
        <v>77733.0</v>
      </c>
      <c r="C86">
        <v>33.0</v>
      </c>
      <c r="D86">
        <v>2.08332900504829</v>
      </c>
      <c r="E86">
        <v>13.0</v>
      </c>
      <c r="F86">
        <f t="shared" si="1"/>
        <v>-0.8984351963300994</v>
      </c>
    </row>
    <row r="87" spans="8:8">
      <c r="A87">
        <v>41.0</v>
      </c>
      <c r="B87">
        <v>90318.0</v>
      </c>
      <c r="C87">
        <v>4.0</v>
      </c>
      <c r="D87">
        <v>2.75588568282254</v>
      </c>
      <c r="E87">
        <v>3.0</v>
      </c>
      <c r="F87">
        <f t="shared" si="1"/>
        <v>-0.32422868488215</v>
      </c>
      <c r="I87" s="4" t="s">
        <v>66</v>
      </c>
      <c r="J87" s="3">
        <v>13.5</v>
      </c>
    </row>
    <row r="88" spans="8:8">
      <c r="A88">
        <v>43.0</v>
      </c>
      <c r="B88">
        <v>179736.0</v>
      </c>
      <c r="C88">
        <v>33.0</v>
      </c>
      <c r="D88">
        <v>1.31382552536906</v>
      </c>
      <c r="E88">
        <v>9.0</v>
      </c>
      <c r="F88">
        <f t="shared" si="1"/>
        <v>-1.555411661237019</v>
      </c>
      <c r="I88" s="4" t="s">
        <v>67</v>
      </c>
      <c r="J88" s="3">
        <v>24.0</v>
      </c>
    </row>
    <row r="89" spans="8:8">
      <c r="A89">
        <v>42.0</v>
      </c>
      <c r="B89">
        <v>92172.0</v>
      </c>
      <c r="C89">
        <v>14.0</v>
      </c>
      <c r="D89">
        <v>1.10140297366183</v>
      </c>
      <c r="E89">
        <v>17.0</v>
      </c>
      <c r="F89">
        <f t="shared" si="1"/>
        <v>-1.7367709672992837</v>
      </c>
      <c r="I89" s="4" t="s">
        <v>68</v>
      </c>
      <c r="J89" s="3">
        <v>35.0</v>
      </c>
    </row>
    <row r="90" spans="8:8">
      <c r="A90">
        <v>62.0</v>
      </c>
      <c r="B90">
        <v>118264.0</v>
      </c>
      <c r="C90">
        <v>21.0</v>
      </c>
      <c r="D90">
        <v>4.8505936587117</v>
      </c>
      <c r="E90">
        <v>17.0</v>
      </c>
      <c r="F90">
        <f t="shared" si="1"/>
        <v>1.464163281305776</v>
      </c>
    </row>
    <row r="91" spans="8:8">
      <c r="A91">
        <v>58.0</v>
      </c>
      <c r="B91">
        <v>51736.0</v>
      </c>
      <c r="C91">
        <v>48.0</v>
      </c>
      <c r="D91">
        <v>4.34392048204882</v>
      </c>
      <c r="E91">
        <v>16.0</v>
      </c>
      <c r="F91">
        <f t="shared" si="1"/>
        <v>1.0315825831575405</v>
      </c>
    </row>
    <row r="92" spans="8:8">
      <c r="A92">
        <v>46.0</v>
      </c>
      <c r="B92">
        <v>137859.0</v>
      </c>
      <c r="C92">
        <v>20.0</v>
      </c>
      <c r="D92">
        <v>3.78389682437479</v>
      </c>
      <c r="E92">
        <v>13.0</v>
      </c>
      <c r="F92">
        <f t="shared" si="1"/>
        <v>0.5534530196157399</v>
      </c>
      <c r="H92" s="1" t="s">
        <v>69</v>
      </c>
      <c r="I92" t="s">
        <v>16</v>
      </c>
    </row>
    <row r="93" spans="8:8">
      <c r="A93">
        <v>32.0</v>
      </c>
      <c r="B93">
        <v>137181.0</v>
      </c>
      <c r="C93">
        <v>8.0</v>
      </c>
      <c r="D93">
        <v>2.63581177765707</v>
      </c>
      <c r="E93">
        <v>19.0</v>
      </c>
      <c r="F93">
        <f t="shared" si="1"/>
        <v>-0.4267437895260729</v>
      </c>
    </row>
    <row r="94" spans="8:8">
      <c r="A94">
        <v>62.0</v>
      </c>
      <c r="B94">
        <v>156926.0</v>
      </c>
      <c r="C94">
        <v>7.0</v>
      </c>
      <c r="D94">
        <v>1.69317728028338</v>
      </c>
      <c r="E94">
        <v>17.0</v>
      </c>
      <c r="F94">
        <f t="shared" si="1"/>
        <v>-1.231533756222559</v>
      </c>
      <c r="I94" s="2" t="s">
        <v>70</v>
      </c>
      <c r="J94" s="2"/>
      <c r="K94" s="3">
        <v>-20227.181414141414</v>
      </c>
    </row>
    <row r="95" spans="8:8">
      <c r="A95">
        <v>18.0</v>
      </c>
      <c r="B95">
        <v>115084.0</v>
      </c>
      <c r="C95">
        <v>3.0</v>
      </c>
      <c r="D95">
        <v>1.62574817068434</v>
      </c>
      <c r="E95">
        <v>4.0</v>
      </c>
      <c r="F95">
        <f t="shared" si="1"/>
        <v>-1.2891024862231886</v>
      </c>
    </row>
    <row r="96" spans="8:8">
      <c r="A96">
        <v>42.0</v>
      </c>
      <c r="B96">
        <v>32392.0</v>
      </c>
      <c r="C96">
        <v>17.0</v>
      </c>
      <c r="D96">
        <v>2.00097159265838</v>
      </c>
      <c r="E96">
        <v>12.0</v>
      </c>
      <c r="F96">
        <f t="shared" si="1"/>
        <v>-0.9687492144984893</v>
      </c>
    </row>
    <row r="97" spans="8:8">
      <c r="A97">
        <v>24.0</v>
      </c>
      <c r="B97">
        <v>80680.0</v>
      </c>
      <c r="C97">
        <v>33.0</v>
      </c>
      <c r="D97">
        <v>3.19690665882448</v>
      </c>
      <c r="E97">
        <v>9.0</v>
      </c>
      <c r="F97">
        <f t="shared" si="1"/>
        <v>0.05230034898827922</v>
      </c>
      <c r="H97" s="1" t="s">
        <v>71</v>
      </c>
      <c r="I97" t="s">
        <v>17</v>
      </c>
    </row>
    <row r="98" spans="8:8">
      <c r="A98">
        <v>26.0</v>
      </c>
      <c r="B98">
        <v>75859.0</v>
      </c>
      <c r="C98">
        <v>48.0</v>
      </c>
      <c r="D98">
        <v>3.85838369080024</v>
      </c>
      <c r="E98">
        <v>19.0</v>
      </c>
      <c r="F98">
        <f t="shared" si="1"/>
        <v>0.6170474275404255</v>
      </c>
    </row>
    <row r="99" spans="8:8">
      <c r="A99">
        <v>41.0</v>
      </c>
      <c r="B99">
        <v>150657.0</v>
      </c>
      <c r="C99">
        <v>12.0</v>
      </c>
      <c r="D99">
        <v>3.64078950687092</v>
      </c>
      <c r="E99">
        <v>12.0</v>
      </c>
      <c r="F99">
        <f t="shared" si="1"/>
        <v>0.4312727539784794</v>
      </c>
      <c r="I99" s="4" t="s">
        <v>72</v>
      </c>
      <c r="J99" s="4"/>
      <c r="K99" s="3">
        <f>SKEW($B$2:$B$101)</f>
        <v>-0.2530787218112757</v>
      </c>
      <c r="M99" s="15" t="s">
        <v>74</v>
      </c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spans="8:8">
      <c r="A100">
        <v>18.0</v>
      </c>
      <c r="B100">
        <v>95467.0</v>
      </c>
      <c r="C100">
        <v>22.0</v>
      </c>
      <c r="D100">
        <v>2.11973558778377</v>
      </c>
      <c r="E100">
        <v>9.0</v>
      </c>
      <c r="F100">
        <f t="shared" si="1"/>
        <v>-0.8673524674581427</v>
      </c>
      <c r="I100" s="4" t="s">
        <v>73</v>
      </c>
      <c r="J100" s="4"/>
      <c r="K100" s="3">
        <f>KURT($B$2:$B$101)</f>
        <v>-1.2236234886974056</v>
      </c>
      <c r="M100" s="15" t="s">
        <v>75</v>
      </c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spans="8:8">
      <c r="A101">
        <v>61.0</v>
      </c>
      <c r="B101">
        <v>123506.0</v>
      </c>
      <c r="C101">
        <v>22.0</v>
      </c>
      <c r="D101">
        <v>4.81946112265277</v>
      </c>
      <c r="E101">
        <v>7.0</v>
      </c>
      <c r="F101">
        <f t="shared" si="1"/>
        <v>1.437583357986769</v>
      </c>
    </row>
    <row r="103" spans="8:8">
      <c r="H103" s="1" t="s">
        <v>76</v>
      </c>
      <c r="I103" t="s">
        <v>18</v>
      </c>
    </row>
    <row r="105" spans="8:8">
      <c r="I105" s="16" t="s">
        <v>77</v>
      </c>
      <c r="J105" s="16"/>
      <c r="K105" s="16"/>
      <c r="L105" s="16"/>
      <c r="M105" s="16"/>
      <c r="N105" s="16"/>
      <c r="O105" s="16"/>
      <c r="P105" s="16"/>
      <c r="Q105" s="16"/>
    </row>
  </sheetData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P118"/>
  <sheetViews>
    <sheetView tabSelected="1" workbookViewId="0">
      <selection activeCell="B3" sqref="B3"/>
    </sheetView>
  </sheetViews>
  <sheetFormatPr defaultRowHeight="14.4" defaultColWidth="10"/>
  <cols>
    <col min="1" max="1" customWidth="1" bestFit="1" width="4.0" style="0"/>
    <col min="2" max="2" customWidth="1" bestFit="1" width="7.0" style="0"/>
    <col min="3" max="3" customWidth="1" bestFit="1" width="14.332031" style="0"/>
    <col min="4" max="4" customWidth="1" width="16.21875" style="0"/>
    <col min="5" max="5" customWidth="1" width="13.886719" style="0"/>
    <col min="6" max="7" customWidth="1" width="8.886719" style="0"/>
    <col min="8" max="8" customWidth="1" bestFit="1" width="12.0" style="0"/>
    <col min="9" max="9" customWidth="1" bestFit="1" width="21.554688" style="0"/>
    <col min="10" max="10" customWidth="1" width="7.8867188" style="0"/>
    <col min="11" max="11" customWidth="1" width="8.886719" style="0"/>
    <col min="12" max="12" customWidth="1" bestFit="1" width="13.777344" style="0"/>
    <col min="13" max="13" customWidth="1" bestFit="1" width="21.554688" style="0"/>
    <col min="14" max="14" customWidth="1" bestFit="1" width="13.5546875" style="0"/>
    <col min="15" max="15" customWidth="1" bestFit="1" width="16.777344" style="0"/>
  </cols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8:8">
      <c r="A2">
        <v>56.0</v>
      </c>
      <c r="B2">
        <v>158767.0</v>
      </c>
      <c r="C2">
        <v>17.0</v>
      </c>
      <c r="D2">
        <v>1.97595857351633</v>
      </c>
      <c r="E2">
        <v>7.0</v>
      </c>
      <c r="G2" s="1" t="s">
        <v>19</v>
      </c>
      <c r="H2" t="s">
        <v>97</v>
      </c>
    </row>
    <row r="3" spans="8:8">
      <c r="A3">
        <v>46.0</v>
      </c>
      <c r="B3">
        <v>149375.0</v>
      </c>
      <c r="C3">
        <v>38.0</v>
      </c>
      <c r="D3">
        <v>4.89204221900978</v>
      </c>
      <c r="E3">
        <v>5.0</v>
      </c>
      <c r="H3" s="17" t="s">
        <v>96</v>
      </c>
      <c r="I3" s="3" t="s">
        <v>95</v>
      </c>
    </row>
    <row r="4" spans="8:8">
      <c r="A4">
        <v>32.0</v>
      </c>
      <c r="B4">
        <v>161330.0</v>
      </c>
      <c r="C4">
        <v>24.0</v>
      </c>
      <c r="D4">
        <v>2.57239089866704</v>
      </c>
      <c r="E4">
        <v>3.0</v>
      </c>
      <c r="H4" s="18" t="s">
        <v>85</v>
      </c>
      <c r="I4" s="19">
        <v>113670.90909090909</v>
      </c>
    </row>
    <row r="5" spans="8:8">
      <c r="A5">
        <v>60.0</v>
      </c>
      <c r="B5">
        <v>64504.0</v>
      </c>
      <c r="C5">
        <v>5.0</v>
      </c>
      <c r="D5">
        <v>4.56818622070845</v>
      </c>
      <c r="E5">
        <v>12.0</v>
      </c>
      <c r="H5" s="18" t="s">
        <v>86</v>
      </c>
      <c r="I5" s="19">
        <v>109207.63636363637</v>
      </c>
    </row>
    <row r="6" spans="8:8">
      <c r="A6">
        <v>25.0</v>
      </c>
      <c r="B6">
        <v>38986.0</v>
      </c>
      <c r="C6">
        <v>34.0</v>
      </c>
      <c r="D6">
        <v>3.52455450398905</v>
      </c>
      <c r="E6">
        <v>16.0</v>
      </c>
      <c r="H6" s="18" t="s">
        <v>87</v>
      </c>
      <c r="I6" s="19">
        <v>110173.90909090909</v>
      </c>
    </row>
    <row r="7" spans="8:8">
      <c r="A7">
        <v>38.0</v>
      </c>
      <c r="B7">
        <v>86858.0</v>
      </c>
      <c r="C7">
        <v>6.0</v>
      </c>
      <c r="D7">
        <v>4.17924521416659</v>
      </c>
      <c r="E7">
        <v>19.0</v>
      </c>
      <c r="H7" s="18" t="s">
        <v>88</v>
      </c>
      <c r="I7" s="19">
        <v>100473.25</v>
      </c>
    </row>
    <row r="8" spans="8:8">
      <c r="A8">
        <v>56.0</v>
      </c>
      <c r="B8">
        <v>154312.0</v>
      </c>
      <c r="C8">
        <v>22.0</v>
      </c>
      <c r="D8">
        <v>3.01054837242076</v>
      </c>
      <c r="E8">
        <v>5.0</v>
      </c>
      <c r="H8" s="18" t="s">
        <v>89</v>
      </c>
      <c r="I8" s="19">
        <v>95397.64705882352</v>
      </c>
    </row>
    <row r="9" spans="8:8">
      <c r="A9">
        <v>36.0</v>
      </c>
      <c r="B9">
        <v>37666.0</v>
      </c>
      <c r="C9">
        <v>11.0</v>
      </c>
      <c r="D9">
        <v>3.30761553850543</v>
      </c>
      <c r="E9">
        <v>14.0</v>
      </c>
      <c r="H9" s="18" t="s">
        <v>90</v>
      </c>
      <c r="I9" s="19">
        <v>139902.2</v>
      </c>
    </row>
    <row r="10" spans="8:8">
      <c r="A10">
        <v>40.0</v>
      </c>
      <c r="B10">
        <v>63660.0</v>
      </c>
      <c r="C10">
        <v>48.0</v>
      </c>
      <c r="D10">
        <v>2.97007077527545</v>
      </c>
      <c r="E10">
        <v>5.0</v>
      </c>
      <c r="H10" s="18" t="s">
        <v>91</v>
      </c>
      <c r="I10" s="19">
        <v>105434.5</v>
      </c>
    </row>
    <row r="11" spans="8:8">
      <c r="A11">
        <v>28.0</v>
      </c>
      <c r="B11">
        <v>159633.0</v>
      </c>
      <c r="C11">
        <v>16.0</v>
      </c>
      <c r="D11">
        <v>1.78097195119217</v>
      </c>
      <c r="E11">
        <v>15.0</v>
      </c>
      <c r="H11" s="18" t="s">
        <v>92</v>
      </c>
      <c r="I11" s="19">
        <v>118253.63636363637</v>
      </c>
    </row>
    <row r="12" spans="8:8">
      <c r="A12">
        <v>28.0</v>
      </c>
      <c r="B12">
        <v>51854.0</v>
      </c>
      <c r="C12">
        <v>33.0</v>
      </c>
      <c r="D12">
        <v>3.88980846104602</v>
      </c>
      <c r="E12">
        <v>17.0</v>
      </c>
      <c r="H12" s="18" t="s">
        <v>93</v>
      </c>
      <c r="I12" s="19">
        <v>103652.61538461539</v>
      </c>
    </row>
    <row r="13" spans="8:8">
      <c r="A13">
        <v>41.0</v>
      </c>
      <c r="B13">
        <v>89505.0</v>
      </c>
      <c r="C13">
        <v>9.0</v>
      </c>
      <c r="D13">
        <v>2.12308944976342</v>
      </c>
      <c r="E13">
        <v>14.0</v>
      </c>
      <c r="H13" s="18" t="s">
        <v>94</v>
      </c>
      <c r="I13" s="19">
        <v>93498.5</v>
      </c>
    </row>
    <row r="14" spans="8:8">
      <c r="A14">
        <v>53.0</v>
      </c>
      <c r="B14">
        <v>129488.0</v>
      </c>
      <c r="C14">
        <v>6.0</v>
      </c>
      <c r="D14">
        <v>1.09726386572581</v>
      </c>
      <c r="E14">
        <v>5.0</v>
      </c>
      <c r="H14" s="20" t="s">
        <v>79</v>
      </c>
      <c r="I14" s="19">
        <v>109321.51</v>
      </c>
    </row>
    <row r="15" spans="8:8">
      <c r="A15">
        <v>57.0</v>
      </c>
      <c r="B15">
        <v>47662.0</v>
      </c>
      <c r="C15">
        <v>16.0</v>
      </c>
      <c r="D15">
        <v>3.58188918362867</v>
      </c>
      <c r="E15">
        <v>12.0</v>
      </c>
    </row>
    <row r="16" spans="8:8">
      <c r="A16">
        <v>41.0</v>
      </c>
      <c r="B16">
        <v>33392.0</v>
      </c>
      <c r="C16">
        <v>29.0</v>
      </c>
      <c r="D16">
        <v>1.70844271762819</v>
      </c>
      <c r="E16">
        <v>16.0</v>
      </c>
      <c r="G16" s="1" t="s">
        <v>23</v>
      </c>
      <c r="H16" t="s">
        <v>98</v>
      </c>
    </row>
    <row r="17" spans="8:8">
      <c r="A17">
        <v>20.0</v>
      </c>
      <c r="B17">
        <v>55535.0</v>
      </c>
      <c r="C17">
        <v>3.0</v>
      </c>
      <c r="D17">
        <v>4.76183433741165</v>
      </c>
      <c r="E17">
        <v>16.0</v>
      </c>
      <c r="H17" s="17" t="s">
        <v>100</v>
      </c>
      <c r="I17" s="3" t="s">
        <v>99</v>
      </c>
    </row>
    <row r="18" spans="8:8">
      <c r="A18">
        <v>39.0</v>
      </c>
      <c r="B18">
        <v>138569.0</v>
      </c>
      <c r="C18">
        <v>20.0</v>
      </c>
      <c r="D18">
        <v>4.81571430801034</v>
      </c>
      <c r="E18">
        <v>7.0</v>
      </c>
      <c r="H18" s="18">
        <v>1.06182646611546</v>
      </c>
      <c r="I18" s="19">
        <v>26.0</v>
      </c>
    </row>
    <row r="19" spans="8:8">
      <c r="A19">
        <v>19.0</v>
      </c>
      <c r="B19">
        <v>77256.0</v>
      </c>
      <c r="C19">
        <v>36.0</v>
      </c>
      <c r="D19">
        <v>4.65945756088179</v>
      </c>
      <c r="E19">
        <v>4.0</v>
      </c>
      <c r="H19" s="18">
        <v>1.09726386572581</v>
      </c>
      <c r="I19" s="19">
        <v>6.0</v>
      </c>
    </row>
    <row r="20" spans="8:8">
      <c r="A20">
        <v>41.0</v>
      </c>
      <c r="B20">
        <v>114135.0</v>
      </c>
      <c r="C20">
        <v>19.0</v>
      </c>
      <c r="D20">
        <v>2.48063480102177</v>
      </c>
      <c r="E20">
        <v>1.0</v>
      </c>
      <c r="H20" s="18">
        <v>1.10140297366183</v>
      </c>
      <c r="I20" s="19">
        <v>14.0</v>
      </c>
      <c r="K20" s="1" t="s">
        <v>26</v>
      </c>
      <c r="L20" t="s">
        <v>101</v>
      </c>
    </row>
    <row r="21" spans="8:8">
      <c r="A21">
        <v>61.0</v>
      </c>
      <c r="B21">
        <v>152478.0</v>
      </c>
      <c r="C21">
        <v>26.0</v>
      </c>
      <c r="D21">
        <v>1.06182646611546</v>
      </c>
      <c r="E21">
        <v>5.0</v>
      </c>
      <c r="H21" s="18">
        <v>1.12200099975619</v>
      </c>
      <c r="I21" s="19">
        <v>8.0</v>
      </c>
      <c r="L21" s="17" t="s">
        <v>102</v>
      </c>
      <c r="M21" s="3" t="s">
        <v>103</v>
      </c>
    </row>
    <row r="22" spans="8:8">
      <c r="A22">
        <v>47.0</v>
      </c>
      <c r="B22">
        <v>60222.0</v>
      </c>
      <c r="C22">
        <v>3.0</v>
      </c>
      <c r="D22">
        <v>4.7132742503509</v>
      </c>
      <c r="E22">
        <v>10.0</v>
      </c>
      <c r="H22" s="18">
        <v>1.14376909518696</v>
      </c>
      <c r="I22" s="19">
        <v>24.0</v>
      </c>
      <c r="L22" s="21">
        <v>1.0</v>
      </c>
      <c r="M22" s="19">
        <v>6.0</v>
      </c>
    </row>
    <row r="23" spans="8:8">
      <c r="A23">
        <v>55.0</v>
      </c>
      <c r="B23">
        <v>102373.0</v>
      </c>
      <c r="C23">
        <v>19.0</v>
      </c>
      <c r="D23">
        <v>2.71273659326925</v>
      </c>
      <c r="E23">
        <v>5.0</v>
      </c>
      <c r="H23" s="18">
        <v>1.14939275499685</v>
      </c>
      <c r="I23" s="19">
        <v>36.0</v>
      </c>
      <c r="L23" s="21">
        <v>2.0</v>
      </c>
      <c r="M23" s="19">
        <v>4.0</v>
      </c>
    </row>
    <row r="24" spans="8:8">
      <c r="A24">
        <v>19.0</v>
      </c>
      <c r="B24">
        <v>148684.0</v>
      </c>
      <c r="C24">
        <v>20.0</v>
      </c>
      <c r="D24">
        <v>4.86661927617467</v>
      </c>
      <c r="E24">
        <v>4.0</v>
      </c>
      <c r="H24" s="18">
        <v>1.20672688467443</v>
      </c>
      <c r="I24" s="19">
        <v>29.0</v>
      </c>
      <c r="L24" s="21">
        <v>3.0</v>
      </c>
      <c r="M24" s="19">
        <v>7.0</v>
      </c>
    </row>
    <row r="25" spans="8:8">
      <c r="A25">
        <v>38.0</v>
      </c>
      <c r="B25">
        <v>35965.0</v>
      </c>
      <c r="C25">
        <v>32.0</v>
      </c>
      <c r="D25">
        <v>4.85447990835701</v>
      </c>
      <c r="E25">
        <v>2.0</v>
      </c>
      <c r="H25" s="18">
        <v>1.31382552536906</v>
      </c>
      <c r="I25" s="19">
        <v>33.0</v>
      </c>
      <c r="L25" s="21">
        <v>4.0</v>
      </c>
      <c r="M25" s="19">
        <v>8.0</v>
      </c>
    </row>
    <row r="26" spans="8:8">
      <c r="A26">
        <v>50.0</v>
      </c>
      <c r="B26">
        <v>49538.0</v>
      </c>
      <c r="C26">
        <v>7.0</v>
      </c>
      <c r="D26">
        <v>4.41203782186944</v>
      </c>
      <c r="E26">
        <v>10.0</v>
      </c>
      <c r="H26" s="18">
        <v>1.34138985997507</v>
      </c>
      <c r="I26" s="19">
        <v>25.0</v>
      </c>
      <c r="L26" s="21">
        <v>5.0</v>
      </c>
      <c r="M26" s="19">
        <v>10.0</v>
      </c>
    </row>
    <row r="27" spans="8:8">
      <c r="A27">
        <v>29.0</v>
      </c>
      <c r="B27">
        <v>133066.0</v>
      </c>
      <c r="C27">
        <v>41.0</v>
      </c>
      <c r="D27">
        <v>2.17779556827834</v>
      </c>
      <c r="E27">
        <v>19.0</v>
      </c>
      <c r="H27" s="18">
        <v>1.37592775936347</v>
      </c>
      <c r="I27" s="19">
        <v>3.0</v>
      </c>
      <c r="L27" s="21">
        <v>7.0</v>
      </c>
      <c r="M27" s="19">
        <v>5.0</v>
      </c>
    </row>
    <row r="28" spans="8:8">
      <c r="A28">
        <v>39.0</v>
      </c>
      <c r="B28">
        <v>138252.0</v>
      </c>
      <c r="C28">
        <v>33.0</v>
      </c>
      <c r="D28">
        <v>2.5403909144077</v>
      </c>
      <c r="E28">
        <v>1.0</v>
      </c>
      <c r="H28" s="18">
        <v>1.38870597508307</v>
      </c>
      <c r="I28" s="19">
        <v>25.0</v>
      </c>
      <c r="L28" s="21">
        <v>8.0</v>
      </c>
      <c r="M28" s="19">
        <v>2.0</v>
      </c>
    </row>
    <row r="29" spans="8:8">
      <c r="A29">
        <v>61.0</v>
      </c>
      <c r="B29">
        <v>164182.0</v>
      </c>
      <c r="C29">
        <v>40.0</v>
      </c>
      <c r="D29">
        <v>4.40454668606742</v>
      </c>
      <c r="E29">
        <v>5.0</v>
      </c>
      <c r="H29" s="18">
        <v>1.50824205060753</v>
      </c>
      <c r="I29" s="19">
        <v>20.0</v>
      </c>
      <c r="L29" s="21">
        <v>9.0</v>
      </c>
      <c r="M29" s="19">
        <v>5.0</v>
      </c>
    </row>
    <row r="30" spans="8:8">
      <c r="A30">
        <v>42.0</v>
      </c>
      <c r="B30">
        <v>123806.0</v>
      </c>
      <c r="C30">
        <v>39.0</v>
      </c>
      <c r="D30">
        <v>2.26768802062511</v>
      </c>
      <c r="E30">
        <v>13.0</v>
      </c>
      <c r="H30" s="18">
        <v>1.56033606094609</v>
      </c>
      <c r="I30" s="19">
        <v>30.0</v>
      </c>
      <c r="L30" s="21">
        <v>10.0</v>
      </c>
      <c r="M30" s="19">
        <v>5.0</v>
      </c>
    </row>
    <row r="31" spans="8:8">
      <c r="A31">
        <v>44.0</v>
      </c>
      <c r="B31">
        <v>162982.0</v>
      </c>
      <c r="C31">
        <v>18.0</v>
      </c>
      <c r="D31">
        <v>1.67797098674437</v>
      </c>
      <c r="E31">
        <v>4.0</v>
      </c>
      <c r="H31" s="18">
        <v>1.62574817068434</v>
      </c>
      <c r="I31" s="19">
        <v>3.0</v>
      </c>
      <c r="L31" s="21">
        <v>11.0</v>
      </c>
      <c r="M31" s="19">
        <v>3.0</v>
      </c>
    </row>
    <row r="32" spans="8:8">
      <c r="A32">
        <v>59.0</v>
      </c>
      <c r="B32">
        <v>135989.0</v>
      </c>
      <c r="C32">
        <v>40.0</v>
      </c>
      <c r="D32">
        <v>3.2272050498334</v>
      </c>
      <c r="E32">
        <v>16.0</v>
      </c>
      <c r="H32" s="18">
        <v>1.67797098674437</v>
      </c>
      <c r="I32" s="19">
        <v>18.0</v>
      </c>
      <c r="L32" s="21">
        <v>12.0</v>
      </c>
      <c r="M32" s="19">
        <v>9.0</v>
      </c>
    </row>
    <row r="33" spans="8:8">
      <c r="A33">
        <v>45.0</v>
      </c>
      <c r="B33">
        <v>115982.0</v>
      </c>
      <c r="C33">
        <v>1.0</v>
      </c>
      <c r="D33">
        <v>4.74461909664312</v>
      </c>
      <c r="E33">
        <v>16.0</v>
      </c>
      <c r="H33" s="18">
        <v>1.69317728028338</v>
      </c>
      <c r="I33" s="19">
        <v>7.0</v>
      </c>
      <c r="L33" s="21">
        <v>13.0</v>
      </c>
      <c r="M33" s="19">
        <v>5.0</v>
      </c>
    </row>
    <row r="34" spans="8:8">
      <c r="A34">
        <v>33.0</v>
      </c>
      <c r="B34">
        <v>146626.0</v>
      </c>
      <c r="C34">
        <v>11.0</v>
      </c>
      <c r="D34">
        <v>3.78411918669989</v>
      </c>
      <c r="E34">
        <v>2.0</v>
      </c>
      <c r="H34" s="18">
        <v>1.70844271762819</v>
      </c>
      <c r="I34" s="19">
        <v>29.0</v>
      </c>
      <c r="L34" s="21">
        <v>14.0</v>
      </c>
      <c r="M34" s="19">
        <v>3.0</v>
      </c>
    </row>
    <row r="35" spans="8:8">
      <c r="A35">
        <v>32.0</v>
      </c>
      <c r="B35">
        <v>144176.0</v>
      </c>
      <c r="C35">
        <v>28.0</v>
      </c>
      <c r="D35">
        <v>3.28024468035746</v>
      </c>
      <c r="E35">
        <v>17.0</v>
      </c>
      <c r="H35" s="18">
        <v>1.78097195119217</v>
      </c>
      <c r="I35" s="19">
        <v>16.0</v>
      </c>
      <c r="L35" s="21">
        <v>15.0</v>
      </c>
      <c r="M35" s="19">
        <v>1.0</v>
      </c>
    </row>
    <row r="36" spans="8:8">
      <c r="A36">
        <v>64.0</v>
      </c>
      <c r="B36">
        <v>156278.0</v>
      </c>
      <c r="C36">
        <v>25.0</v>
      </c>
      <c r="D36">
        <v>1.38870597508307</v>
      </c>
      <c r="E36">
        <v>12.0</v>
      </c>
      <c r="H36" s="18">
        <v>1.86328410998737</v>
      </c>
      <c r="I36" s="19">
        <v>25.0</v>
      </c>
      <c r="L36" s="21">
        <v>16.0</v>
      </c>
      <c r="M36" s="19">
        <v>7.0</v>
      </c>
    </row>
    <row r="37" spans="8:8">
      <c r="A37">
        <v>61.0</v>
      </c>
      <c r="B37">
        <v>147409.0</v>
      </c>
      <c r="C37">
        <v>23.0</v>
      </c>
      <c r="D37">
        <v>3.46002890679667</v>
      </c>
      <c r="E37">
        <v>18.0</v>
      </c>
      <c r="H37" s="18">
        <v>1.97595857351633</v>
      </c>
      <c r="I37" s="19">
        <v>17.0</v>
      </c>
      <c r="L37" s="21">
        <v>17.0</v>
      </c>
      <c r="M37" s="19">
        <v>9.0</v>
      </c>
    </row>
    <row r="38" spans="8:8">
      <c r="A38">
        <v>20.0</v>
      </c>
      <c r="B38">
        <v>48419.0</v>
      </c>
      <c r="C38">
        <v>31.0</v>
      </c>
      <c r="D38">
        <v>4.96021540041705</v>
      </c>
      <c r="E38">
        <v>3.0</v>
      </c>
      <c r="H38" s="18">
        <v>2.00097159265838</v>
      </c>
      <c r="I38" s="19">
        <v>17.0</v>
      </c>
      <c r="L38" s="21">
        <v>18.0</v>
      </c>
      <c r="M38" s="19">
        <v>4.0</v>
      </c>
    </row>
    <row r="39" spans="8:8">
      <c r="A39">
        <v>54.0</v>
      </c>
      <c r="B39">
        <v>75015.0</v>
      </c>
      <c r="C39">
        <v>30.0</v>
      </c>
      <c r="D39">
        <v>1.56033606094609</v>
      </c>
      <c r="E39">
        <v>1.0</v>
      </c>
      <c r="H39" s="18">
        <v>2.08332900504829</v>
      </c>
      <c r="I39" s="19">
        <v>33.0</v>
      </c>
      <c r="L39" s="21">
        <v>19.0</v>
      </c>
      <c r="M39" s="19">
        <v>7.0</v>
      </c>
    </row>
    <row r="40" spans="8:8">
      <c r="A40">
        <v>24.0</v>
      </c>
      <c r="B40">
        <v>147096.0</v>
      </c>
      <c r="C40">
        <v>42.0</v>
      </c>
      <c r="D40">
        <v>3.07331860945494</v>
      </c>
      <c r="E40">
        <v>1.0</v>
      </c>
      <c r="H40" s="18">
        <v>2.11973558778377</v>
      </c>
      <c r="I40" s="19">
        <v>22.0</v>
      </c>
      <c r="L40" s="20" t="s">
        <v>79</v>
      </c>
      <c r="M40" s="19">
        <v>100.0</v>
      </c>
    </row>
    <row r="41" spans="8:8">
      <c r="A41">
        <v>38.0</v>
      </c>
      <c r="B41">
        <v>132059.0</v>
      </c>
      <c r="C41">
        <v>35.0</v>
      </c>
      <c r="D41">
        <v>4.50949228771182</v>
      </c>
      <c r="E41">
        <v>19.0</v>
      </c>
      <c r="H41" s="18">
        <v>2.12308944976342</v>
      </c>
      <c r="I41" s="19">
        <v>9.0</v>
      </c>
    </row>
    <row r="42" spans="8:8">
      <c r="A42">
        <v>26.0</v>
      </c>
      <c r="B42">
        <v>135687.0</v>
      </c>
      <c r="C42">
        <v>7.0</v>
      </c>
      <c r="D42">
        <v>3.96307447101681</v>
      </c>
      <c r="E42">
        <v>11.0</v>
      </c>
      <c r="H42" s="18">
        <v>2.14616500851313</v>
      </c>
      <c r="I42" s="19">
        <v>11.0</v>
      </c>
      <c r="K42" s="1" t="s">
        <v>30</v>
      </c>
      <c r="L42" t="s">
        <v>104</v>
      </c>
    </row>
    <row r="43" spans="8:8">
      <c r="A43">
        <v>56.0</v>
      </c>
      <c r="B43">
        <v>112939.0</v>
      </c>
      <c r="C43">
        <v>16.0</v>
      </c>
      <c r="D43">
        <v>3.78806296398107</v>
      </c>
      <c r="E43">
        <v>5.0</v>
      </c>
      <c r="H43" s="18">
        <v>2.17436737705797</v>
      </c>
      <c r="I43" s="19">
        <v>49.0</v>
      </c>
      <c r="L43" s="17" t="s">
        <v>78</v>
      </c>
      <c r="M43" s="3" t="s">
        <v>106</v>
      </c>
      <c r="N43" s="3" t="s">
        <v>107</v>
      </c>
      <c r="O43" s="3" t="s">
        <v>105</v>
      </c>
    </row>
    <row r="44" spans="8:8">
      <c r="A44">
        <v>35.0</v>
      </c>
      <c r="B44">
        <v>174213.0</v>
      </c>
      <c r="C44">
        <v>26.0</v>
      </c>
      <c r="D44">
        <v>3.80993633594843</v>
      </c>
      <c r="E44">
        <v>12.0</v>
      </c>
      <c r="H44" s="18">
        <v>2.17779556827834</v>
      </c>
      <c r="I44" s="19">
        <v>41.0</v>
      </c>
      <c r="L44" s="21" t="s">
        <v>80</v>
      </c>
      <c r="M44" s="19">
        <v>38986.0</v>
      </c>
      <c r="N44" s="19">
        <v>178371.0</v>
      </c>
      <c r="O44" s="19">
        <v>111439.27272727272</v>
      </c>
    </row>
    <row r="45" spans="8:8">
      <c r="A45">
        <v>21.0</v>
      </c>
      <c r="B45">
        <v>130878.0</v>
      </c>
      <c r="C45">
        <v>48.0</v>
      </c>
      <c r="D45">
        <v>2.43796460487902</v>
      </c>
      <c r="E45">
        <v>3.0</v>
      </c>
      <c r="H45" s="18">
        <v>2.26768802062511</v>
      </c>
      <c r="I45" s="19">
        <v>39.0</v>
      </c>
      <c r="L45" s="21" t="s">
        <v>81</v>
      </c>
      <c r="M45" s="19">
        <v>37666.0</v>
      </c>
      <c r="N45" s="19">
        <v>174213.0</v>
      </c>
      <c r="O45" s="19">
        <v>106089.42105263157</v>
      </c>
    </row>
    <row r="46" spans="8:8">
      <c r="A46">
        <v>42.0</v>
      </c>
      <c r="B46">
        <v>87623.0</v>
      </c>
      <c r="C46">
        <v>49.0</v>
      </c>
      <c r="D46">
        <v>2.17436737705797</v>
      </c>
      <c r="E46">
        <v>1.0</v>
      </c>
      <c r="H46" s="18">
        <v>2.29182589176498</v>
      </c>
      <c r="I46" s="19">
        <v>41.0</v>
      </c>
      <c r="L46" s="21" t="s">
        <v>82</v>
      </c>
      <c r="M46" s="19">
        <v>32392.0</v>
      </c>
      <c r="N46" s="19">
        <v>179736.0</v>
      </c>
      <c r="O46" s="19">
        <v>111880.81481481482</v>
      </c>
    </row>
    <row r="47" spans="8:8">
      <c r="A47">
        <v>31.0</v>
      </c>
      <c r="B47">
        <v>100450.0</v>
      </c>
      <c r="C47">
        <v>2.0</v>
      </c>
      <c r="D47">
        <v>4.23744462191405</v>
      </c>
      <c r="E47">
        <v>1.0</v>
      </c>
      <c r="H47" s="18">
        <v>2.35198062740614</v>
      </c>
      <c r="I47" s="19">
        <v>48.0</v>
      </c>
      <c r="L47" s="21" t="s">
        <v>83</v>
      </c>
      <c r="M47" s="19">
        <v>28748.0</v>
      </c>
      <c r="N47" s="19">
        <v>177906.0</v>
      </c>
      <c r="O47" s="19">
        <v>114835.2</v>
      </c>
    </row>
    <row r="48" spans="8:8">
      <c r="A48">
        <v>26.0</v>
      </c>
      <c r="B48">
        <v>118426.0</v>
      </c>
      <c r="C48">
        <v>1.0</v>
      </c>
      <c r="D48">
        <v>4.24045357871672</v>
      </c>
      <c r="E48">
        <v>8.0</v>
      </c>
      <c r="H48" s="18">
        <v>2.43796460487902</v>
      </c>
      <c r="I48" s="19">
        <v>48.0</v>
      </c>
      <c r="L48" s="21" t="s">
        <v>84</v>
      </c>
      <c r="M48" s="19">
        <v>27693.0</v>
      </c>
      <c r="N48" s="19">
        <v>164182.0</v>
      </c>
      <c r="O48" s="19">
        <v>101263.41176470589</v>
      </c>
    </row>
    <row r="49" spans="8:8">
      <c r="A49">
        <v>43.0</v>
      </c>
      <c r="B49">
        <v>142845.0</v>
      </c>
      <c r="C49">
        <v>48.0</v>
      </c>
      <c r="D49">
        <v>4.46828927432041</v>
      </c>
      <c r="E49">
        <v>10.0</v>
      </c>
      <c r="H49" s="18">
        <v>2.44076256564505</v>
      </c>
      <c r="I49" s="19">
        <v>40.0</v>
      </c>
      <c r="L49" s="20" t="s">
        <v>79</v>
      </c>
      <c r="M49" s="19">
        <v>27693.0</v>
      </c>
      <c r="N49" s="19">
        <v>179736.0</v>
      </c>
      <c r="O49" s="19">
        <v>109321.51</v>
      </c>
    </row>
    <row r="50" spans="8:8">
      <c r="A50">
        <v>19.0</v>
      </c>
      <c r="B50">
        <v>178371.0</v>
      </c>
      <c r="C50">
        <v>12.0</v>
      </c>
      <c r="D50">
        <v>4.65296221022588</v>
      </c>
      <c r="E50">
        <v>11.0</v>
      </c>
      <c r="H50" s="18">
        <v>2.48063480102177</v>
      </c>
      <c r="I50" s="19">
        <v>19.0</v>
      </c>
    </row>
    <row r="51" spans="8:8">
      <c r="A51">
        <v>37.0</v>
      </c>
      <c r="B51">
        <v>68585.0</v>
      </c>
      <c r="C51">
        <v>5.0</v>
      </c>
      <c r="D51">
        <v>3.04536959544375</v>
      </c>
      <c r="E51">
        <v>12.0</v>
      </c>
      <c r="H51" s="18">
        <v>2.50233181055977</v>
      </c>
      <c r="I51" s="19">
        <v>16.0</v>
      </c>
      <c r="K51" s="1" t="s">
        <v>35</v>
      </c>
      <c r="L51" t="s">
        <v>108</v>
      </c>
    </row>
    <row r="52" spans="8:8">
      <c r="A52">
        <v>45.0</v>
      </c>
      <c r="B52">
        <v>134225.0</v>
      </c>
      <c r="C52">
        <v>37.0</v>
      </c>
      <c r="D52">
        <v>3.00606517874879</v>
      </c>
      <c r="E52">
        <v>13.0</v>
      </c>
      <c r="H52" s="18">
        <v>2.5403909144077</v>
      </c>
      <c r="I52" s="19">
        <v>33.0</v>
      </c>
    </row>
    <row r="53" spans="8:8">
      <c r="A53">
        <v>64.0</v>
      </c>
      <c r="B53">
        <v>89044.0</v>
      </c>
      <c r="C53">
        <v>32.0</v>
      </c>
      <c r="D53">
        <v>4.1931807158671</v>
      </c>
      <c r="E53">
        <v>12.0</v>
      </c>
      <c r="H53" s="18">
        <v>2.57239089866704</v>
      </c>
      <c r="I53" s="19">
        <v>24.0</v>
      </c>
      <c r="L53" s="17" t="s">
        <v>78</v>
      </c>
      <c r="M53" s="3" t="s">
        <v>99</v>
      </c>
    </row>
    <row r="54" spans="8:8">
      <c r="A54">
        <v>24.0</v>
      </c>
      <c r="B54">
        <v>134556.0</v>
      </c>
      <c r="C54">
        <v>9.0</v>
      </c>
      <c r="D54">
        <v>3.59985572311106</v>
      </c>
      <c r="E54">
        <v>14.0</v>
      </c>
      <c r="H54" s="18">
        <v>2.63581177765707</v>
      </c>
      <c r="I54" s="19">
        <v>8.0</v>
      </c>
      <c r="L54" s="21" t="s">
        <v>109</v>
      </c>
      <c r="M54" s="19">
        <v>385.0</v>
      </c>
    </row>
    <row r="55" spans="8:8">
      <c r="A55">
        <v>61.0</v>
      </c>
      <c r="B55">
        <v>27693.0</v>
      </c>
      <c r="C55">
        <v>41.0</v>
      </c>
      <c r="D55">
        <v>3.80786750903081</v>
      </c>
      <c r="E55">
        <v>2.0</v>
      </c>
      <c r="H55" s="18">
        <v>2.71273659326925</v>
      </c>
      <c r="I55" s="19">
        <v>19.0</v>
      </c>
      <c r="L55" s="21" t="s">
        <v>110</v>
      </c>
      <c r="M55" s="19">
        <v>227.0</v>
      </c>
    </row>
    <row r="56" spans="8:8">
      <c r="A56">
        <v>25.0</v>
      </c>
      <c r="B56">
        <v>120259.0</v>
      </c>
      <c r="C56">
        <v>35.0</v>
      </c>
      <c r="D56">
        <v>4.1831706777444</v>
      </c>
      <c r="E56">
        <v>19.0</v>
      </c>
      <c r="H56" s="18">
        <v>2.75588568282254</v>
      </c>
      <c r="I56" s="19">
        <v>4.0</v>
      </c>
      <c r="L56" s="21" t="s">
        <v>111</v>
      </c>
      <c r="M56" s="19">
        <v>460.0</v>
      </c>
    </row>
    <row r="57" spans="8:8">
      <c r="A57">
        <v>64.0</v>
      </c>
      <c r="B57">
        <v>50939.0</v>
      </c>
      <c r="C57">
        <v>19.0</v>
      </c>
      <c r="D57">
        <v>4.56002136727026</v>
      </c>
      <c r="E57">
        <v>18.0</v>
      </c>
      <c r="H57" s="18">
        <v>2.86239207252984</v>
      </c>
      <c r="I57" s="19">
        <v>33.0</v>
      </c>
      <c r="L57" s="21" t="s">
        <v>112</v>
      </c>
      <c r="M57" s="19">
        <v>254.0</v>
      </c>
    </row>
    <row r="58" spans="8:8">
      <c r="A58">
        <v>52.0</v>
      </c>
      <c r="B58">
        <v>177906.0</v>
      </c>
      <c r="C58">
        <v>48.0</v>
      </c>
      <c r="D58">
        <v>2.35198062740614</v>
      </c>
      <c r="E58">
        <v>3.0</v>
      </c>
      <c r="H58" s="18">
        <v>2.97007077527545</v>
      </c>
      <c r="I58" s="19">
        <v>48.0</v>
      </c>
      <c r="L58" s="21" t="s">
        <v>113</v>
      </c>
      <c r="M58" s="19">
        <v>565.0</v>
      </c>
    </row>
    <row r="59" spans="8:8">
      <c r="A59">
        <v>31.0</v>
      </c>
      <c r="B59">
        <v>43047.0</v>
      </c>
      <c r="C59">
        <v>16.0</v>
      </c>
      <c r="D59">
        <v>2.50233181055977</v>
      </c>
      <c r="E59">
        <v>17.0</v>
      </c>
      <c r="H59" s="18">
        <v>3.00606517874879</v>
      </c>
      <c r="I59" s="19">
        <v>37.0</v>
      </c>
      <c r="L59" s="21" t="s">
        <v>114</v>
      </c>
      <c r="M59" s="19">
        <v>430.0</v>
      </c>
    </row>
    <row r="60" spans="8:8">
      <c r="A60">
        <v>34.0</v>
      </c>
      <c r="B60">
        <v>51105.0</v>
      </c>
      <c r="C60">
        <v>3.0</v>
      </c>
      <c r="D60">
        <v>1.37592775936347</v>
      </c>
      <c r="E60">
        <v>8.0</v>
      </c>
      <c r="H60" s="18">
        <v>3.01054837242076</v>
      </c>
      <c r="I60" s="19">
        <v>22.0</v>
      </c>
      <c r="L60" s="21" t="s">
        <v>115</v>
      </c>
      <c r="M60" s="19">
        <v>126.0</v>
      </c>
    </row>
    <row r="61" spans="8:8">
      <c r="A61">
        <v>53.0</v>
      </c>
      <c r="B61">
        <v>100766.0</v>
      </c>
      <c r="C61">
        <v>20.0</v>
      </c>
      <c r="D61">
        <v>3.31312056398469</v>
      </c>
      <c r="E61">
        <v>10.0</v>
      </c>
      <c r="H61" s="18">
        <v>3.04536959544375</v>
      </c>
      <c r="I61" s="19">
        <v>5.0</v>
      </c>
      <c r="L61" s="20" t="s">
        <v>79</v>
      </c>
      <c r="M61" s="19">
        <v>2447.0</v>
      </c>
    </row>
    <row r="62" spans="8:8">
      <c r="A62">
        <v>57.0</v>
      </c>
      <c r="B62">
        <v>171779.0</v>
      </c>
      <c r="C62">
        <v>24.0</v>
      </c>
      <c r="D62">
        <v>1.14376909518696</v>
      </c>
      <c r="E62">
        <v>2.0</v>
      </c>
      <c r="H62" s="18">
        <v>3.06520139320478</v>
      </c>
      <c r="I62" s="19">
        <v>16.0</v>
      </c>
    </row>
    <row r="63" spans="8:8">
      <c r="A63">
        <v>21.0</v>
      </c>
      <c r="B63">
        <v>178048.0</v>
      </c>
      <c r="C63">
        <v>33.0</v>
      </c>
      <c r="D63">
        <v>2.86239207252984</v>
      </c>
      <c r="E63">
        <v>19.0</v>
      </c>
      <c r="H63" s="18">
        <v>3.07331860945494</v>
      </c>
      <c r="I63" s="19">
        <v>42.0</v>
      </c>
    </row>
    <row r="64" spans="8:8">
      <c r="A64">
        <v>19.0</v>
      </c>
      <c r="B64">
        <v>69262.0</v>
      </c>
      <c r="C64">
        <v>24.0</v>
      </c>
      <c r="D64">
        <v>3.1705785388303</v>
      </c>
      <c r="E64">
        <v>9.0</v>
      </c>
      <c r="H64" s="18">
        <v>3.08897304021921</v>
      </c>
      <c r="I64" s="19">
        <v>35.0</v>
      </c>
    </row>
    <row r="65" spans="8:8">
      <c r="A65">
        <v>23.0</v>
      </c>
      <c r="B65">
        <v>150117.0</v>
      </c>
      <c r="C65">
        <v>11.0</v>
      </c>
      <c r="D65">
        <v>2.14616500851313</v>
      </c>
      <c r="E65">
        <v>7.0</v>
      </c>
      <c r="H65" s="18">
        <v>3.12541852627259</v>
      </c>
      <c r="I65" s="19">
        <v>18.0</v>
      </c>
    </row>
    <row r="66" spans="8:8">
      <c r="A66">
        <v>59.0</v>
      </c>
      <c r="B66">
        <v>48776.0</v>
      </c>
      <c r="C66">
        <v>49.0</v>
      </c>
      <c r="D66">
        <v>3.36333304227604</v>
      </c>
      <c r="E66">
        <v>4.0</v>
      </c>
      <c r="H66" s="18">
        <v>3.16254048644042</v>
      </c>
      <c r="I66" s="19">
        <v>46.0</v>
      </c>
    </row>
    <row r="67" spans="8:8">
      <c r="A67">
        <v>21.0</v>
      </c>
      <c r="B67">
        <v>153376.0</v>
      </c>
      <c r="C67">
        <v>8.0</v>
      </c>
      <c r="D67">
        <v>1.12200099975619</v>
      </c>
      <c r="E67">
        <v>18.0</v>
      </c>
      <c r="H67" s="18">
        <v>3.1705785388303</v>
      </c>
      <c r="I67" s="19">
        <v>24.0</v>
      </c>
    </row>
    <row r="68" spans="8:8">
      <c r="A68">
        <v>46.0</v>
      </c>
      <c r="B68">
        <v>162848.0</v>
      </c>
      <c r="C68">
        <v>36.0</v>
      </c>
      <c r="D68">
        <v>1.14939275499685</v>
      </c>
      <c r="E68">
        <v>13.0</v>
      </c>
      <c r="H68" s="18">
        <v>3.19690665882448</v>
      </c>
      <c r="I68" s="19">
        <v>33.0</v>
      </c>
    </row>
    <row r="69" spans="8:8">
      <c r="A69">
        <v>35.0</v>
      </c>
      <c r="B69">
        <v>117787.0</v>
      </c>
      <c r="C69">
        <v>38.0</v>
      </c>
      <c r="D69">
        <v>4.29040224263863</v>
      </c>
      <c r="E69">
        <v>11.0</v>
      </c>
      <c r="H69" s="18">
        <v>3.2272050498334</v>
      </c>
      <c r="I69" s="19">
        <v>40.0</v>
      </c>
    </row>
    <row r="70" spans="8:8">
      <c r="A70">
        <v>43.0</v>
      </c>
      <c r="B70">
        <v>152948.0</v>
      </c>
      <c r="C70">
        <v>40.0</v>
      </c>
      <c r="D70">
        <v>2.44076256564505</v>
      </c>
      <c r="E70">
        <v>4.0</v>
      </c>
      <c r="H70" s="18">
        <v>3.28024468035746</v>
      </c>
      <c r="I70" s="19">
        <v>28.0</v>
      </c>
    </row>
    <row r="71" spans="8:8">
      <c r="A71">
        <v>61.0</v>
      </c>
      <c r="B71">
        <v>80016.0</v>
      </c>
      <c r="C71">
        <v>20.0</v>
      </c>
      <c r="D71">
        <v>1.50824205060753</v>
      </c>
      <c r="E71">
        <v>4.0</v>
      </c>
      <c r="H71" s="18">
        <v>3.30761553850543</v>
      </c>
      <c r="I71" s="19">
        <v>11.0</v>
      </c>
    </row>
    <row r="72" spans="8:8">
      <c r="A72">
        <v>51.0</v>
      </c>
      <c r="B72">
        <v>165546.0</v>
      </c>
      <c r="C72">
        <v>35.0</v>
      </c>
      <c r="D72">
        <v>3.08897304021921</v>
      </c>
      <c r="E72">
        <v>10.0</v>
      </c>
      <c r="H72" s="18">
        <v>3.31312056398469</v>
      </c>
      <c r="I72" s="19">
        <v>20.0</v>
      </c>
    </row>
    <row r="73" spans="8:8">
      <c r="A73">
        <v>27.0</v>
      </c>
      <c r="B73">
        <v>46959.0</v>
      </c>
      <c r="C73">
        <v>48.0</v>
      </c>
      <c r="D73">
        <v>4.07997421239444</v>
      </c>
      <c r="E73">
        <v>5.0</v>
      </c>
      <c r="H73" s="18">
        <v>3.36333304227604</v>
      </c>
      <c r="I73" s="19">
        <v>49.0</v>
      </c>
    </row>
    <row r="74" spans="8:8">
      <c r="A74">
        <v>53.0</v>
      </c>
      <c r="B74">
        <v>161602.0</v>
      </c>
      <c r="C74">
        <v>25.0</v>
      </c>
      <c r="D74">
        <v>1.86328410998737</v>
      </c>
      <c r="E74">
        <v>9.0</v>
      </c>
      <c r="H74" s="18">
        <v>3.46002890679667</v>
      </c>
      <c r="I74" s="19">
        <v>23.0</v>
      </c>
    </row>
    <row r="75" spans="8:8">
      <c r="A75">
        <v>31.0</v>
      </c>
      <c r="B75">
        <v>144101.0</v>
      </c>
      <c r="C75">
        <v>35.0</v>
      </c>
      <c r="D75">
        <v>3.491561903276</v>
      </c>
      <c r="E75">
        <v>3.0</v>
      </c>
      <c r="H75" s="18">
        <v>3.491561903276</v>
      </c>
      <c r="I75" s="19">
        <v>35.0</v>
      </c>
    </row>
    <row r="76" spans="8:8">
      <c r="A76">
        <v>48.0</v>
      </c>
      <c r="B76">
        <v>28748.0</v>
      </c>
      <c r="C76">
        <v>25.0</v>
      </c>
      <c r="D76">
        <v>1.34138985997507</v>
      </c>
      <c r="E76">
        <v>17.0</v>
      </c>
      <c r="H76" s="18">
        <v>3.52455450398905</v>
      </c>
      <c r="I76" s="19">
        <v>34.0</v>
      </c>
    </row>
    <row r="77" spans="8:8">
      <c r="A77">
        <v>32.0</v>
      </c>
      <c r="B77">
        <v>38545.0</v>
      </c>
      <c r="C77">
        <v>29.0</v>
      </c>
      <c r="D77">
        <v>1.20672688467443</v>
      </c>
      <c r="E77">
        <v>3.0</v>
      </c>
      <c r="H77" s="18">
        <v>3.54971960599282</v>
      </c>
      <c r="I77" s="19">
        <v>18.0</v>
      </c>
    </row>
    <row r="78" spans="8:8">
      <c r="A78">
        <v>25.0</v>
      </c>
      <c r="B78">
        <v>152659.0</v>
      </c>
      <c r="C78">
        <v>18.0</v>
      </c>
      <c r="D78">
        <v>3.12541852627259</v>
      </c>
      <c r="E78">
        <v>16.0</v>
      </c>
      <c r="H78" s="18">
        <v>3.58188918362867</v>
      </c>
      <c r="I78" s="19">
        <v>16.0</v>
      </c>
    </row>
    <row r="79" spans="8:8">
      <c r="A79">
        <v>31.0</v>
      </c>
      <c r="B79">
        <v>98530.0</v>
      </c>
      <c r="C79">
        <v>46.0</v>
      </c>
      <c r="D79">
        <v>3.16254048644042</v>
      </c>
      <c r="E79">
        <v>4.0</v>
      </c>
      <c r="H79" s="18">
        <v>3.59985572311106</v>
      </c>
      <c r="I79" s="19">
        <v>9.0</v>
      </c>
    </row>
    <row r="80" spans="8:8">
      <c r="A80">
        <v>40.0</v>
      </c>
      <c r="B80">
        <v>118557.0</v>
      </c>
      <c r="C80">
        <v>18.0</v>
      </c>
      <c r="D80">
        <v>3.54971960599282</v>
      </c>
      <c r="E80">
        <v>18.0</v>
      </c>
      <c r="H80" s="18">
        <v>3.64078950687092</v>
      </c>
      <c r="I80" s="19">
        <v>12.0</v>
      </c>
    </row>
    <row r="81" spans="8:8">
      <c r="A81">
        <v>57.0</v>
      </c>
      <c r="B81">
        <v>86087.0</v>
      </c>
      <c r="C81">
        <v>2.0</v>
      </c>
      <c r="D81">
        <v>3.90436533489064</v>
      </c>
      <c r="E81">
        <v>17.0</v>
      </c>
      <c r="H81" s="18">
        <v>3.78389682437479</v>
      </c>
      <c r="I81" s="19">
        <v>20.0</v>
      </c>
    </row>
    <row r="82" spans="8:8">
      <c r="A82">
        <v>38.0</v>
      </c>
      <c r="B82">
        <v>93840.0</v>
      </c>
      <c r="C82">
        <v>35.0</v>
      </c>
      <c r="D82">
        <v>4.90340831785013</v>
      </c>
      <c r="E82">
        <v>7.0</v>
      </c>
      <c r="H82" s="18">
        <v>3.78411918669989</v>
      </c>
      <c r="I82" s="19">
        <v>11.0</v>
      </c>
    </row>
    <row r="83" spans="8:8">
      <c r="A83">
        <v>33.0</v>
      </c>
      <c r="B83">
        <v>143451.0</v>
      </c>
      <c r="C83">
        <v>16.0</v>
      </c>
      <c r="D83">
        <v>3.06520139320478</v>
      </c>
      <c r="E83">
        <v>5.0</v>
      </c>
      <c r="H83" s="18">
        <v>3.78806296398107</v>
      </c>
      <c r="I83" s="19">
        <v>16.0</v>
      </c>
    </row>
    <row r="84" spans="8:8">
      <c r="A84">
        <v>62.0</v>
      </c>
      <c r="B84">
        <v>76005.0</v>
      </c>
      <c r="C84">
        <v>41.0</v>
      </c>
      <c r="D84">
        <v>2.29182589176498</v>
      </c>
      <c r="E84">
        <v>12.0</v>
      </c>
      <c r="H84" s="18">
        <v>3.80786750903081</v>
      </c>
      <c r="I84" s="19">
        <v>41.0</v>
      </c>
    </row>
    <row r="85" spans="8:8">
      <c r="A85">
        <v>35.0</v>
      </c>
      <c r="B85">
        <v>64353.0</v>
      </c>
      <c r="C85">
        <v>36.0</v>
      </c>
      <c r="D85">
        <v>4.18074477907481</v>
      </c>
      <c r="E85">
        <v>17.0</v>
      </c>
      <c r="H85" s="18">
        <v>3.80993633594843</v>
      </c>
      <c r="I85" s="19">
        <v>26.0</v>
      </c>
    </row>
    <row r="86" spans="8:8">
      <c r="A86">
        <v>64.0</v>
      </c>
      <c r="B86">
        <v>77733.0</v>
      </c>
      <c r="C86">
        <v>33.0</v>
      </c>
      <c r="D86">
        <v>2.08332900504829</v>
      </c>
      <c r="E86">
        <v>13.0</v>
      </c>
      <c r="H86" s="18">
        <v>3.85838369080024</v>
      </c>
      <c r="I86" s="19">
        <v>48.0</v>
      </c>
    </row>
    <row r="87" spans="8:8">
      <c r="A87">
        <v>41.0</v>
      </c>
      <c r="B87">
        <v>90318.0</v>
      </c>
      <c r="C87">
        <v>4.0</v>
      </c>
      <c r="D87">
        <v>2.75588568282254</v>
      </c>
      <c r="E87">
        <v>3.0</v>
      </c>
      <c r="H87" s="18">
        <v>3.88980846104602</v>
      </c>
      <c r="I87" s="19">
        <v>33.0</v>
      </c>
    </row>
    <row r="88" spans="8:8">
      <c r="A88">
        <v>43.0</v>
      </c>
      <c r="B88">
        <v>179736.0</v>
      </c>
      <c r="C88">
        <v>33.0</v>
      </c>
      <c r="D88">
        <v>1.31382552536906</v>
      </c>
      <c r="E88">
        <v>9.0</v>
      </c>
      <c r="H88" s="18">
        <v>3.90436533489064</v>
      </c>
      <c r="I88" s="19">
        <v>2.0</v>
      </c>
    </row>
    <row r="89" spans="8:8">
      <c r="A89">
        <v>42.0</v>
      </c>
      <c r="B89">
        <v>92172.0</v>
      </c>
      <c r="C89">
        <v>14.0</v>
      </c>
      <c r="D89">
        <v>1.10140297366183</v>
      </c>
      <c r="E89">
        <v>17.0</v>
      </c>
      <c r="H89" s="18">
        <v>3.96307447101681</v>
      </c>
      <c r="I89" s="19">
        <v>7.0</v>
      </c>
    </row>
    <row r="90" spans="8:8">
      <c r="A90">
        <v>62.0</v>
      </c>
      <c r="B90">
        <v>118264.0</v>
      </c>
      <c r="C90">
        <v>21.0</v>
      </c>
      <c r="D90">
        <v>4.8505936587117</v>
      </c>
      <c r="E90">
        <v>17.0</v>
      </c>
      <c r="H90" s="18">
        <v>4.07997421239444</v>
      </c>
      <c r="I90" s="19">
        <v>48.0</v>
      </c>
    </row>
    <row r="91" spans="8:8">
      <c r="A91">
        <v>58.0</v>
      </c>
      <c r="B91">
        <v>51736.0</v>
      </c>
      <c r="C91">
        <v>48.0</v>
      </c>
      <c r="D91">
        <v>4.34392048204882</v>
      </c>
      <c r="E91">
        <v>16.0</v>
      </c>
      <c r="H91" s="18">
        <v>4.17924521416659</v>
      </c>
      <c r="I91" s="19">
        <v>6.0</v>
      </c>
    </row>
    <row r="92" spans="8:8">
      <c r="A92">
        <v>46.0</v>
      </c>
      <c r="B92">
        <v>137859.0</v>
      </c>
      <c r="C92">
        <v>20.0</v>
      </c>
      <c r="D92">
        <v>3.78389682437479</v>
      </c>
      <c r="E92">
        <v>13.0</v>
      </c>
      <c r="H92" s="18">
        <v>4.18074477907481</v>
      </c>
      <c r="I92" s="19">
        <v>36.0</v>
      </c>
    </row>
    <row r="93" spans="8:8">
      <c r="A93">
        <v>32.0</v>
      </c>
      <c r="B93">
        <v>137181.0</v>
      </c>
      <c r="C93">
        <v>8.0</v>
      </c>
      <c r="D93">
        <v>2.63581177765707</v>
      </c>
      <c r="E93">
        <v>19.0</v>
      </c>
      <c r="H93" s="18">
        <v>4.1831706777444</v>
      </c>
      <c r="I93" s="19">
        <v>35.0</v>
      </c>
    </row>
    <row r="94" spans="8:8">
      <c r="A94">
        <v>62.0</v>
      </c>
      <c r="B94">
        <v>156926.0</v>
      </c>
      <c r="C94">
        <v>7.0</v>
      </c>
      <c r="D94">
        <v>1.69317728028338</v>
      </c>
      <c r="E94">
        <v>17.0</v>
      </c>
      <c r="H94" s="18">
        <v>4.1931807158671</v>
      </c>
      <c r="I94" s="19">
        <v>32.0</v>
      </c>
    </row>
    <row r="95" spans="8:8">
      <c r="A95">
        <v>18.0</v>
      </c>
      <c r="B95">
        <v>115084.0</v>
      </c>
      <c r="C95">
        <v>3.0</v>
      </c>
      <c r="D95">
        <v>1.62574817068434</v>
      </c>
      <c r="E95">
        <v>4.0</v>
      </c>
      <c r="H95" s="18">
        <v>4.23744462191405</v>
      </c>
      <c r="I95" s="19">
        <v>2.0</v>
      </c>
    </row>
    <row r="96" spans="8:8">
      <c r="A96">
        <v>42.0</v>
      </c>
      <c r="B96">
        <v>32392.0</v>
      </c>
      <c r="C96">
        <v>17.0</v>
      </c>
      <c r="D96">
        <v>2.00097159265838</v>
      </c>
      <c r="E96">
        <v>12.0</v>
      </c>
      <c r="H96" s="18">
        <v>4.24045357871672</v>
      </c>
      <c r="I96" s="19">
        <v>1.0</v>
      </c>
    </row>
    <row r="97" spans="8:8">
      <c r="A97">
        <v>24.0</v>
      </c>
      <c r="B97">
        <v>80680.0</v>
      </c>
      <c r="C97">
        <v>33.0</v>
      </c>
      <c r="D97">
        <v>3.19690665882448</v>
      </c>
      <c r="E97">
        <v>9.0</v>
      </c>
      <c r="H97" s="18">
        <v>4.29040224263863</v>
      </c>
      <c r="I97" s="19">
        <v>38.0</v>
      </c>
    </row>
    <row r="98" spans="8:8">
      <c r="A98">
        <v>26.0</v>
      </c>
      <c r="B98">
        <v>75859.0</v>
      </c>
      <c r="C98">
        <v>48.0</v>
      </c>
      <c r="D98">
        <v>3.85838369080024</v>
      </c>
      <c r="E98">
        <v>19.0</v>
      </c>
      <c r="H98" s="18">
        <v>4.34392048204882</v>
      </c>
      <c r="I98" s="19">
        <v>48.0</v>
      </c>
    </row>
    <row r="99" spans="8:8">
      <c r="A99">
        <v>41.0</v>
      </c>
      <c r="B99">
        <v>150657.0</v>
      </c>
      <c r="C99">
        <v>12.0</v>
      </c>
      <c r="D99">
        <v>3.64078950687092</v>
      </c>
      <c r="E99">
        <v>12.0</v>
      </c>
      <c r="H99" s="18">
        <v>4.40454668606742</v>
      </c>
      <c r="I99" s="19">
        <v>40.0</v>
      </c>
    </row>
    <row r="100" spans="8:8">
      <c r="A100">
        <v>18.0</v>
      </c>
      <c r="B100">
        <v>95467.0</v>
      </c>
      <c r="C100">
        <v>22.0</v>
      </c>
      <c r="D100">
        <v>2.11973558778377</v>
      </c>
      <c r="E100">
        <v>9.0</v>
      </c>
      <c r="H100" s="18">
        <v>4.41203782186944</v>
      </c>
      <c r="I100" s="19">
        <v>7.0</v>
      </c>
    </row>
    <row r="101" spans="8:8">
      <c r="A101">
        <v>61.0</v>
      </c>
      <c r="B101">
        <v>123506.0</v>
      </c>
      <c r="C101">
        <v>22.0</v>
      </c>
      <c r="D101">
        <v>4.81946112265277</v>
      </c>
      <c r="E101">
        <v>7.0</v>
      </c>
      <c r="H101" s="18">
        <v>4.46828927432041</v>
      </c>
      <c r="I101" s="19">
        <v>48.0</v>
      </c>
    </row>
    <row r="102" spans="8:8">
      <c r="H102" s="18">
        <v>4.50949228771182</v>
      </c>
      <c r="I102" s="19">
        <v>35.0</v>
      </c>
    </row>
    <row r="103" spans="8:8">
      <c r="H103" s="18">
        <v>4.56002136727026</v>
      </c>
      <c r="I103" s="19">
        <v>19.0</v>
      </c>
    </row>
    <row r="104" spans="8:8">
      <c r="H104" s="18">
        <v>4.56818622070845</v>
      </c>
      <c r="I104" s="19">
        <v>5.0</v>
      </c>
    </row>
    <row r="105" spans="8:8">
      <c r="H105" s="18">
        <v>4.65296221022588</v>
      </c>
      <c r="I105" s="19">
        <v>12.0</v>
      </c>
    </row>
    <row r="106" spans="8:8">
      <c r="H106" s="18">
        <v>4.65945756088179</v>
      </c>
      <c r="I106" s="19">
        <v>36.0</v>
      </c>
    </row>
    <row r="107" spans="8:8">
      <c r="H107" s="18">
        <v>4.7132742503509</v>
      </c>
      <c r="I107" s="19">
        <v>3.0</v>
      </c>
    </row>
    <row r="108" spans="8:8">
      <c r="H108" s="18">
        <v>4.74461909664312</v>
      </c>
      <c r="I108" s="19">
        <v>1.0</v>
      </c>
    </row>
    <row r="109" spans="8:8">
      <c r="H109" s="18">
        <v>4.76183433741165</v>
      </c>
      <c r="I109" s="19">
        <v>3.0</v>
      </c>
    </row>
    <row r="110" spans="8:8">
      <c r="H110" s="18">
        <v>4.81571430801034</v>
      </c>
      <c r="I110" s="19">
        <v>20.0</v>
      </c>
    </row>
    <row r="111" spans="8:8">
      <c r="H111" s="18">
        <v>4.81946112265277</v>
      </c>
      <c r="I111" s="19">
        <v>22.0</v>
      </c>
    </row>
    <row r="112" spans="8:8">
      <c r="H112" s="18">
        <v>4.8505936587117</v>
      </c>
      <c r="I112" s="19">
        <v>21.0</v>
      </c>
    </row>
    <row r="113" spans="8:8">
      <c r="H113" s="18">
        <v>4.85447990835701</v>
      </c>
      <c r="I113" s="19">
        <v>32.0</v>
      </c>
    </row>
    <row r="114" spans="8:8">
      <c r="H114" s="18">
        <v>4.86661927617467</v>
      </c>
      <c r="I114" s="19">
        <v>20.0</v>
      </c>
    </row>
    <row r="115" spans="8:8">
      <c r="H115" s="18">
        <v>4.89204221900978</v>
      </c>
      <c r="I115" s="19">
        <v>38.0</v>
      </c>
    </row>
    <row r="116" spans="8:8">
      <c r="H116" s="18">
        <v>4.90340831785013</v>
      </c>
      <c r="I116" s="19">
        <v>35.0</v>
      </c>
    </row>
    <row r="117" spans="8:8">
      <c r="H117" s="18">
        <v>4.96021540041705</v>
      </c>
      <c r="I117" s="19">
        <v>31.0</v>
      </c>
    </row>
    <row r="118" spans="8:8">
      <c r="H118" s="20" t="s">
        <v>79</v>
      </c>
      <c r="I118" s="19">
        <v>2447.0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Ajay Poonia</dc:creator>
  <cp:lastModifiedBy>Ajay Poonia</cp:lastModifiedBy>
  <dcterms:created xsi:type="dcterms:W3CDTF">2026-01-07T23:55:58Z</dcterms:created>
  <dcterms:modified xsi:type="dcterms:W3CDTF">2026-01-08T15:19:35Z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7affe7c273b74552a21fe99103cf22df</vt:lpwstr>
  </property>
</Properties>
</file>