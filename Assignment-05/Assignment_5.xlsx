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ayp\OneDrive\Desktop\"/>
    </mc:Choice>
  </mc:AlternateContent>
  <xr:revisionPtr revIDLastSave="0" documentId="13_ncr:1_{C1E375F1-CEDA-4A02-BC93-8F94CF14123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 Analysis" sheetId="1" r:id="rId1"/>
    <sheet name="HR Attrition" sheetId="2" r:id="rId2"/>
    <sheet name="Inventory" sheetId="3" r:id="rId3"/>
    <sheet name="Expense Tracking" sheetId="4" r:id="rId4"/>
    <sheet name="Customer Orders" sheetId="5" r:id="rId5"/>
  </sheets>
  <calcPr calcId="0"/>
  <pivotCaches>
    <pivotCache cacheId="30" r:id="rId6"/>
    <pivotCache cacheId="1" r:id="rId7"/>
    <pivotCache cacheId="2" r:id="rId8"/>
    <pivotCache cacheId="3" r:id="rId9"/>
    <pivotCache cacheId="28" r:id="rId10"/>
  </pivotCaches>
</workbook>
</file>

<file path=xl/sharedStrings.xml><?xml version="1.0" encoding="utf-8"?>
<sst xmlns="http://schemas.openxmlformats.org/spreadsheetml/2006/main" count="758" uniqueCount="243">
  <si>
    <t>Date</t>
  </si>
  <si>
    <t>Region</t>
  </si>
  <si>
    <t>Salesperson</t>
  </si>
  <si>
    <t>Product</t>
  </si>
  <si>
    <t>Units Sold</t>
  </si>
  <si>
    <t>Unit Price</t>
  </si>
  <si>
    <t>Revenue</t>
  </si>
  <si>
    <t>Profit</t>
  </si>
  <si>
    <t>West</t>
  </si>
  <si>
    <t>Bob</t>
  </si>
  <si>
    <t>Tablet</t>
  </si>
  <si>
    <t>Alice</t>
  </si>
  <si>
    <t>South</t>
  </si>
  <si>
    <t>Eva</t>
  </si>
  <si>
    <t>Phone</t>
  </si>
  <si>
    <t>North</t>
  </si>
  <si>
    <t>David</t>
  </si>
  <si>
    <t>Keyboard</t>
  </si>
  <si>
    <t>Laptop</t>
  </si>
  <si>
    <t>East</t>
  </si>
  <si>
    <t>Charlie</t>
  </si>
  <si>
    <t>Monitor</t>
  </si>
  <si>
    <t>Employee ID</t>
  </si>
  <si>
    <t>Department</t>
  </si>
  <si>
    <t>Gender</t>
  </si>
  <si>
    <t>Age</t>
  </si>
  <si>
    <t>Join Date</t>
  </si>
  <si>
    <t>Exit Date</t>
  </si>
  <si>
    <t>Status</t>
  </si>
  <si>
    <t>Salary</t>
  </si>
  <si>
    <t>E1000</t>
  </si>
  <si>
    <t>HR</t>
  </si>
  <si>
    <t>Female</t>
  </si>
  <si>
    <t>Resigned</t>
  </si>
  <si>
    <t>E1001</t>
  </si>
  <si>
    <t>IT</t>
  </si>
  <si>
    <t>E1002</t>
  </si>
  <si>
    <t>Male</t>
  </si>
  <si>
    <t>Active</t>
  </si>
  <si>
    <t>E1003</t>
  </si>
  <si>
    <t>E1004</t>
  </si>
  <si>
    <t>E1005</t>
  </si>
  <si>
    <t>E1006</t>
  </si>
  <si>
    <t>Finance</t>
  </si>
  <si>
    <t>E1007</t>
  </si>
  <si>
    <t>E1008</t>
  </si>
  <si>
    <t>Sales</t>
  </si>
  <si>
    <t>E1009</t>
  </si>
  <si>
    <t>E1010</t>
  </si>
  <si>
    <t>Support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</si>
  <si>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</si>
  <si>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</si>
  <si>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</si>
  <si>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</si>
  <si>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</si>
  <si>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</si>
  <si>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</si>
  <si>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</si>
  <si>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</si>
  <si>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</si>
  <si>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</si>
  <si>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</si>
  <si>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</si>
  <si>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</si>
  <si>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</si>
  <si>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</si>
  <si>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</si>
  <si>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</si>
  <si>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</si>
  <si>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Product ID</t>
  </si>
  <si>
    <t>Product Category</t>
  </si>
  <si>
    <t>Warehouse</t>
  </si>
  <si>
    <t>Opening Stock</t>
  </si>
  <si>
    <t>Quantity Sold</t>
  </si>
  <si>
    <t>Quantity Purchased</t>
  </si>
  <si>
    <t>Closing Stock</t>
  </si>
  <si>
    <t>P100</t>
  </si>
  <si>
    <t>Electronics</t>
  </si>
  <si>
    <t>W1</t>
  </si>
  <si>
    <t>P101</t>
  </si>
  <si>
    <t>Furniture</t>
  </si>
  <si>
    <t>W2</t>
  </si>
  <si>
    <t>P102</t>
  </si>
  <si>
    <t>P103</t>
  </si>
  <si>
    <t>W3</t>
  </si>
  <si>
    <t>P104</t>
  </si>
  <si>
    <t>Stationery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</si>
  <si>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</si>
  <si>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</si>
  <si>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</si>
  <si>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</si>
  <si>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</si>
  <si>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</si>
  <si>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</si>
  <si>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</si>
  <si>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</si>
  <si>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</si>
  <si>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</si>
  <si>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</si>
  <si>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</si>
  <si>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</si>
  <si>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</si>
  <si>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</si>
  <si>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</si>
  <si>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</si>
  <si>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</si>
  <si>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</si>
  <si>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</si>
  <si>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</si>
  <si>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</si>
  <si>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</si>
  <si>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</si>
  <si>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Expense Category</t>
  </si>
  <si>
    <t>Expense Amount</t>
  </si>
  <si>
    <t>Budget</t>
  </si>
  <si>
    <t>Project Name</t>
  </si>
  <si>
    <t>Consulting</t>
  </si>
  <si>
    <t>Delta</t>
  </si>
  <si>
    <t>Admin</t>
  </si>
  <si>
    <t>Travel</t>
  </si>
  <si>
    <t>Alpha</t>
  </si>
  <si>
    <t>Operations</t>
  </si>
  <si>
    <t>Supplies</t>
  </si>
  <si>
    <t>Gamma</t>
  </si>
  <si>
    <t>Software</t>
  </si>
  <si>
    <t>Beta</t>
  </si>
  <si>
    <t>Marketing</t>
  </si>
  <si>
    <t>Order ID</t>
  </si>
  <si>
    <t>Customer Name</t>
  </si>
  <si>
    <t>Order Date</t>
  </si>
  <si>
    <t>Delivery Date</t>
  </si>
  <si>
    <t>Order Value</t>
  </si>
  <si>
    <t>Delivery Status</t>
  </si>
  <si>
    <t>Delivery Duration (Days)</t>
  </si>
  <si>
    <t>O1000</t>
  </si>
  <si>
    <t>Adani</t>
  </si>
  <si>
    <t>Switch</t>
  </si>
  <si>
    <t>On Time</t>
  </si>
  <si>
    <t>O1001</t>
  </si>
  <si>
    <t>Access Point</t>
  </si>
  <si>
    <t>O1002</t>
  </si>
  <si>
    <t>Tata</t>
  </si>
  <si>
    <t>O1003</t>
  </si>
  <si>
    <t>HUL</t>
  </si>
  <si>
    <t>Router</t>
  </si>
  <si>
    <t>O1004</t>
  </si>
  <si>
    <t>Delayed</t>
  </si>
  <si>
    <t>O1005</t>
  </si>
  <si>
    <t>Reliance</t>
  </si>
  <si>
    <t>Modem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</si>
  <si>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</si>
  <si>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</si>
  <si>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</si>
  <si>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</si>
  <si>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</si>
  <si>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</si>
  <si>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</si>
  <si>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</si>
  <si>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</si>
  <si>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Flipkart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</si>
  <si>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</si>
  <si>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</si>
  <si>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</si>
  <si>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</si>
  <si>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</si>
  <si>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</si>
  <si>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</si>
  <si>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</si>
  <si>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</si>
  <si>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</si>
  <si>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</si>
  <si>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</si>
  <si>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</si>
  <si>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</si>
  <si>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</si>
  <si>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Sum of Revenue</t>
  </si>
  <si>
    <t>Row Labels</t>
  </si>
  <si>
    <t>Grand Total</t>
  </si>
  <si>
    <t>Sum of Profit</t>
  </si>
  <si>
    <t>Sum of Units 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</si>
  <si>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</si>
  <si>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</si>
  <si>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</si>
  <si>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</si>
  <si>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</si>
  <si>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</si>
  <si>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</si>
  <si>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</si>
  <si>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</si>
  <si>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</si>
  <si>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</si>
  <si>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</si>
  <si>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</si>
  <si>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Count of Status</t>
  </si>
  <si>
    <t>Count of Employee ID</t>
  </si>
  <si>
    <t>Attrition count</t>
  </si>
  <si>
    <t>Average of Age</t>
  </si>
  <si>
    <t>Average of Salary</t>
  </si>
  <si>
    <t>&lt;02-05-2021</t>
  </si>
  <si>
    <t>2021</t>
  </si>
  <si>
    <t>2022</t>
  </si>
  <si>
    <t>2023</t>
  </si>
  <si>
    <t>2024</t>
  </si>
  <si>
    <t>2025</t>
  </si>
  <si>
    <t>2026</t>
  </si>
  <si>
    <t>year</t>
  </si>
  <si>
    <t>Sum of Opening Stock</t>
  </si>
  <si>
    <t>Sum of Quantity Purchased</t>
  </si>
  <si>
    <t>Sum of Quantity Sold</t>
  </si>
  <si>
    <t>Sum of Closing Stock</t>
  </si>
  <si>
    <t>Count of Product ID</t>
  </si>
  <si>
    <t>11-01-2023 - 17-01-2023</t>
  </si>
  <si>
    <t>18-01-2023 - 24-01-2023</t>
  </si>
  <si>
    <t>15-02-2023 - 21-02-2023</t>
  </si>
  <si>
    <t>22-02-2023 - 28-02-2023</t>
  </si>
  <si>
    <t>01-03-2023 - 07-03-2023</t>
  </si>
  <si>
    <t>15-03-2023 - 21-03-2023</t>
  </si>
  <si>
    <t>05-04-2023 - 11-04-2023</t>
  </si>
  <si>
    <t>19-04-2023 - 25-04-2023</t>
  </si>
  <si>
    <t>03-05-2023 - 09-05-2023</t>
  </si>
  <si>
    <t>14-06-2023 - 20-06-2023</t>
  </si>
  <si>
    <t>21-06-2023 - 27-06-2023</t>
  </si>
  <si>
    <t>12-07-2023 - 18-07-2023</t>
  </si>
  <si>
    <t>09-08-2023 - 15-08-2023</t>
  </si>
  <si>
    <t>16-08-2023 - 22-08-2023</t>
  </si>
  <si>
    <t>23-08-2023 - 29-08-2023</t>
  </si>
  <si>
    <t>20-09-2023 - 26-09-2023</t>
  </si>
  <si>
    <t>11-10-2023 - 17-10-2023</t>
  </si>
  <si>
    <t>25-10-2023 - 31-10-2023</t>
  </si>
  <si>
    <t>15-11-2023 - 21-11-2023</t>
  </si>
  <si>
    <t>29-11-2023 - 05-12-2023</t>
  </si>
  <si>
    <t>06-12-2023 - 12-12-2023</t>
  </si>
  <si>
    <t>13-12-2023 - 19-12-2023</t>
  </si>
  <si>
    <t>20-12-2023 - 26-12-2023</t>
  </si>
  <si>
    <t>Sum of Expense Amount</t>
  </si>
  <si>
    <t>Sum of Budget</t>
  </si>
  <si>
    <t>% Budget Used</t>
  </si>
  <si>
    <t>Project</t>
  </si>
  <si>
    <t>Count of Order ID</t>
  </si>
  <si>
    <t>Sum of Order Value</t>
  </si>
  <si>
    <t>Average of Delivery Duration (Days)</t>
  </si>
  <si>
    <t xml:space="preserve"> Customer                                                                                                                                                    </t>
  </si>
  <si>
    <t>Weekly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</si>
</sst>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1" xfId="0" applyNumberFormat="1" applyBorder="1"/>
    <xf numFmtId="165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indent="1"/>
    </xf>
    <xf numFmtId="0" fontId="0" fillId="0" borderId="0" xfId="0" applyBorder="1"/>
    <xf numFmtId="0" fontId="0" fillId="0" borderId="2" xfId="0" applyNumberFormat="1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25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7.707009490739" createdVersion="8" refreshedVersion="8" minRefreshableVersion="3" recordCount="30" xr:uid="{8A6E3F41-BF73-44E0-8B2B-8B5C9DA2F208}">
  <cacheSource type="worksheet">
    <worksheetSource ref="A1:H31" sheet="Sales Analysis"/>
  </cacheSource>
  <cacheFields count="10">
    <cacheField name="Date" numFmtId="14">
      <sharedItems containsSemiMixedTypes="0" containsNonDate="0" containsDate="1" containsString="0" minDate="2023-01-26T00:00:00" maxDate="2023-12-23T00:00:00" count="27">
        <d v="2023-04-03T00:00:00"/>
        <d v="2023-07-02T00:00:00"/>
        <d v="2023-12-07T00:00:00"/>
        <d v="2023-03-13T00:00:00"/>
        <d v="2023-08-11T00:00:00"/>
        <d v="2023-11-19T00:00:00"/>
        <d v="2023-04-08T00:00:00"/>
        <d v="2023-03-23T00:00:00"/>
        <d v="2023-08-01T00:00:00"/>
        <d v="2023-06-29T00:00:00"/>
        <d v="2023-02-12T00:00:00"/>
        <d v="2023-08-17T00:00:00"/>
        <d v="2023-07-09T00:00:00"/>
        <d v="2023-01-28T00:00:00"/>
        <d v="2023-02-15T00:00:00"/>
        <d v="2023-05-03T00:00:00"/>
        <d v="2023-10-03T00:00:00"/>
        <d v="2023-09-01T00:00:00"/>
        <d v="2023-04-01T00:00:00"/>
        <d v="2023-09-08T00:00:00"/>
        <d v="2023-04-30T00:00:00"/>
        <d v="2023-01-26T00:00:00"/>
        <d v="2023-02-06T00:00:00"/>
        <d v="2023-09-09T00:00:00"/>
        <d v="2023-02-13T00:00:00"/>
        <d v="2023-12-22T00:00:00"/>
        <d v="2023-11-17T00:00:00"/>
      </sharedItems>
      <fieldGroup par="9"/>
    </cacheField>
    <cacheField name="Region" numFmtId="0">
      <sharedItems count="4">
        <s v="West"/>
        <s v="South"/>
        <s v="North"/>
        <s v="East"/>
      </sharedItems>
    </cacheField>
    <cacheField name="Salesperson" numFmtId="0">
      <sharedItems count="5">
        <s v="Bob"/>
        <s v="Alice"/>
        <s v="Eva"/>
        <s v="David"/>
        <s v="Charlie"/>
      </sharedItems>
    </cacheField>
    <cacheField name="Product" numFmtId="0">
      <sharedItems count="5">
        <s v="Tablet"/>
        <s v="Phone"/>
        <s v="Keyboard"/>
        <s v="Laptop"/>
        <s v="Monitor"/>
      </sharedItems>
    </cacheField>
    <cacheField name="Units Sold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164" maxValue="995"/>
    </cacheField>
    <cacheField name="Revenue" numFmtId="0">
      <sharedItems containsSemiMixedTypes="0" containsString="0" containsNumber="1" containsInteger="1" minValue="970" maxValue="19500"/>
    </cacheField>
    <cacheField name="Profit" numFmtId="0">
      <sharedItems containsSemiMixedTypes="0" containsString="0" containsNumber="1" minValue="194" maxValue="3900"/>
    </cacheField>
    <cacheField name="Days (Date)" numFmtId="0" databaseField="0">
      <fieldGroup base="0">
        <rangePr groupBy="days" startDate="2023-01-26T00:00:00" endDate="2023-12-23T00:00:00"/>
        <groupItems count="368">
          <s v="&lt;26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12-2023"/>
        </groupItems>
      </fieldGroup>
    </cacheField>
    <cacheField name="Months (Date)" numFmtId="0" databaseField="0">
      <fieldGroup base="0">
        <rangePr groupBy="months" startDate="2023-01-26T00:00:00" endDate="2023-12-23T00:00:00"/>
        <groupItems count="14">
          <s v="&lt;2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7.810565509259" createdVersion="8" refreshedVersion="8" minRefreshableVersion="3" recordCount="30" xr:uid="{F2933880-3267-4DBE-A5AA-FF778F56BB8F}">
  <cacheSource type="worksheet">
    <worksheetSource ref="A1:H31" sheet="HR Attrition"/>
  </cacheSource>
  <cacheFields count="9">
    <cacheField name="Employee ID" numFmtId="0">
      <sharedItems count="30"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</sharedItems>
    </cacheField>
    <cacheField name="Department" numFmtId="0">
      <sharedItems count="5">
        <s v="HR"/>
        <s v="IT"/>
        <s v="Finance"/>
        <s v="Sales"/>
        <s v="Suppor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2" maxValue="49"/>
    </cacheField>
    <cacheField name="Join Date" numFmtId="14">
      <sharedItems containsSemiMixedTypes="0" containsNonDate="0" containsDate="1" containsString="0" minDate="2020-01-22T00:00:00" maxDate="2023-12-20T00:00:00"/>
    </cacheField>
    <cacheField name="Exit Date" numFmtId="14">
      <sharedItems containsNonDate="0" containsDate="1" containsString="0" containsBlank="1" minDate="2021-05-02T00:00:00" maxDate="2026-02-02T00:00:00" count="21">
        <d v="2024-05-30T00:00:00"/>
        <d v="2024-11-29T00:00:00"/>
        <m/>
        <d v="2023-09-07T00:00:00"/>
        <d v="2024-11-18T00:00:00"/>
        <d v="2025-01-11T00:00:00"/>
        <d v="2023-04-26T00:00:00"/>
        <d v="2021-11-20T00:00:00"/>
        <d v="2025-08-18T00:00:00"/>
        <d v="2024-07-18T00:00:00"/>
        <d v="2021-05-02T00:00:00"/>
        <d v="2021-10-08T00:00:00"/>
        <d v="2023-01-23T00:00:00"/>
        <d v="2022-01-02T00:00:00"/>
        <d v="2021-12-15T00:00:00"/>
        <d v="2023-12-04T00:00:00"/>
        <d v="2024-06-06T00:00:00"/>
        <d v="2024-03-15T00:00:00"/>
        <d v="2025-03-02T00:00:00"/>
        <d v="2023-12-29T00:00:00"/>
        <d v="2026-02-01T00:00:00"/>
      </sharedItems>
      <fieldGroup par="8"/>
    </cacheField>
    <cacheField name="Status" numFmtId="0">
      <sharedItems count="2">
        <s v="Resigned"/>
        <s v="Active"/>
      </sharedItems>
    </cacheField>
    <cacheField name="Salary" numFmtId="0">
      <sharedItems containsSemiMixedTypes="0" containsString="0" containsNumber="1" containsInteger="1" minValue="30083" maxValue="107731"/>
    </cacheField>
    <cacheField name="Years (Exit Date)" numFmtId="0" databaseField="0">
      <fieldGroup base="5">
        <rangePr groupBy="years" startDate="2021-05-02T00:00:00" endDate="2026-02-02T00:00:00"/>
        <groupItems count="8">
          <s v="&lt;02-05-2021"/>
          <s v="2021"/>
          <s v="2022"/>
          <s v="2023"/>
          <s v="2024"/>
          <s v="2025"/>
          <s v="2026"/>
          <s v="&gt;02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7.857675462961" createdVersion="8" refreshedVersion="8" minRefreshableVersion="3" recordCount="30" xr:uid="{54910FCA-6D53-41C5-8E5D-B55C140BEA1D}">
  <cacheSource type="worksheet">
    <worksheetSource ref="A1:H31" sheet="Inventory"/>
  </cacheSource>
  <cacheFields count="9">
    <cacheField name="Product ID" numFmtId="0">
      <sharedItems count="30"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</sharedItems>
    </cacheField>
    <cacheField name="Product Category" numFmtId="0">
      <sharedItems count="3">
        <s v="Electronics"/>
        <s v="Furniture"/>
        <s v="Stationery"/>
      </sharedItems>
    </cacheField>
    <cacheField name="Warehouse" numFmtId="0">
      <sharedItems count="3">
        <s v="W1"/>
        <s v="W2"/>
        <s v="W3"/>
      </sharedItems>
    </cacheField>
    <cacheField name="Opening Stock" numFmtId="0">
      <sharedItems containsSemiMixedTypes="0" containsString="0" containsNumber="1" containsInteger="1" minValue="54" maxValue="196"/>
    </cacheField>
    <cacheField name="Quantity Sold" numFmtId="0">
      <sharedItems containsSemiMixedTypes="0" containsString="0" containsNumber="1" containsInteger="1" minValue="10" maxValue="80"/>
    </cacheField>
    <cacheField name="Quantity Purchased" numFmtId="0">
      <sharedItems containsSemiMixedTypes="0" containsString="0" containsNumber="1" containsInteger="1" minValue="21" maxValue="91"/>
    </cacheField>
    <cacheField name="Date" numFmtId="14">
      <sharedItems containsSemiMixedTypes="0" containsNonDate="0" containsDate="1" containsString="0" minDate="2023-01-11T00:00:00" maxDate="2023-12-27T00:00:00" count="30">
        <d v="2023-08-17T00:00:00"/>
        <d v="2023-09-20T00:00:00"/>
        <d v="2023-02-26T00:00:00"/>
        <d v="2023-10-15T00:00:00"/>
        <d v="2023-12-18T00:00:00"/>
        <d v="2023-12-09T00:00:00"/>
        <d v="2023-09-22T00:00:00"/>
        <d v="2023-10-25T00:00:00"/>
        <d v="2023-06-17T00:00:00"/>
        <d v="2023-02-15T00:00:00"/>
        <d v="2023-01-21T00:00:00"/>
        <d v="2023-01-15T00:00:00"/>
        <d v="2023-04-25T00:00:00"/>
        <d v="2023-08-15T00:00:00"/>
        <d v="2023-04-10T00:00:00"/>
        <d v="2023-10-31T00:00:00"/>
        <d v="2023-02-21T00:00:00"/>
        <d v="2023-03-18T00:00:00"/>
        <d v="2023-03-19T00:00:00"/>
        <d v="2023-08-28T00:00:00"/>
        <d v="2023-05-06T00:00:00"/>
        <d v="2023-11-17T00:00:00"/>
        <d v="2023-06-23T00:00:00"/>
        <d v="2023-12-26T00:00:00"/>
        <d v="2023-03-02T00:00:00"/>
        <d v="2023-07-16T00:00:00"/>
        <d v="2023-01-11T00:00:00"/>
        <d v="2023-12-01T00:00:00"/>
        <d v="2023-08-09T00:00:00"/>
        <d v="2023-01-18T00:00:00"/>
      </sharedItems>
      <fieldGroup par="8"/>
    </cacheField>
    <cacheField name="Closing Stock" numFmtId="0">
      <sharedItems containsSemiMixedTypes="0" containsString="0" containsNumber="1" containsInteger="1" minValue="0" maxValue="239"/>
    </cacheField>
    <cacheField name="Days (Date)" numFmtId="0" databaseField="0">
      <fieldGroup base="6">
        <rangePr groupBy="days" startDate="2023-01-11T00:00:00" endDate="2023-12-27T00:00:00" groupInterval="7"/>
        <groupItems count="52">
          <s v="&lt;11-01-2023"/>
          <s v="11-01-2023 - 17-01-2023"/>
          <s v="18-01-2023 - 24-01-2023"/>
          <s v="25-01-2023 - 31-01-2023"/>
          <s v="01-02-2023 - 07-02-2023"/>
          <s v="08-02-2023 - 14-02-2023"/>
          <s v="15-02-2023 - 21-02-2023"/>
          <s v="22-02-2023 - 28-02-2023"/>
          <s v="01-03-2023 - 07-03-2023"/>
          <s v="08-03-2023 - 14-03-2023"/>
          <s v="15-03-2023 - 21-03-2023"/>
          <s v="22-03-2023 - 28-03-2023"/>
          <s v="29-03-2023 - 04-04-2023"/>
          <s v="05-04-2023 - 11-04-2023"/>
          <s v="12-04-2023 - 18-04-2023"/>
          <s v="19-04-2023 - 25-04-2023"/>
          <s v="26-04-2023 - 02-05-2023"/>
          <s v="03-05-2023 - 09-05-2023"/>
          <s v="10-05-2023 - 16-05-2023"/>
          <s v="17-05-2023 - 23-05-2023"/>
          <s v="24-05-2023 - 30-05-2023"/>
          <s v="31-05-2023 - 06-06-2023"/>
          <s v="07-06-2023 - 13-06-2023"/>
          <s v="14-06-2023 - 20-06-2023"/>
          <s v="21-06-2023 - 27-06-2023"/>
          <s v="28-06-2023 - 04-07-2023"/>
          <s v="05-07-2023 - 11-07-2023"/>
          <s v="12-07-2023 - 18-07-2023"/>
          <s v="19-07-2023 - 25-07-2023"/>
          <s v="26-07-2023 - 01-08-2023"/>
          <s v="02-08-2023 - 08-08-2023"/>
          <s v="09-08-2023 - 15-08-2023"/>
          <s v="16-08-2023 - 22-08-2023"/>
          <s v="23-08-2023 - 29-08-2023"/>
          <s v="30-08-2023 - 05-09-2023"/>
          <s v="06-09-2023 - 12-09-2023"/>
          <s v="13-09-2023 - 19-09-2023"/>
          <s v="20-09-2023 - 26-09-2023"/>
          <s v="27-09-2023 - 03-10-2023"/>
          <s v="04-10-2023 - 10-10-2023"/>
          <s v="11-10-2023 - 17-10-2023"/>
          <s v="18-10-2023 - 24-10-2023"/>
          <s v="25-10-2023 - 31-10-2023"/>
          <s v="01-11-2023 - 07-11-2023"/>
          <s v="08-11-2023 - 14-11-2023"/>
          <s v="15-11-2023 - 21-11-2023"/>
          <s v="22-11-2023 - 28-11-2023"/>
          <s v="29-11-2023 - 05-12-2023"/>
          <s v="06-12-2023 - 12-12-2023"/>
          <s v="13-12-2023 - 19-12-2023"/>
          <s v="20-12-2023 - 26-12-2023"/>
          <s v="&gt;27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7.877804745367" createdVersion="8" refreshedVersion="8" minRefreshableVersion="3" recordCount="30" xr:uid="{AD29A18D-ACBB-4B0D-8A8C-9D3C2D7B91E4}">
  <cacheSource type="worksheet">
    <worksheetSource ref="A1:F31" sheet="Expense Tracking"/>
  </cacheSource>
  <cacheFields count="8">
    <cacheField name="Department" numFmtId="0">
      <sharedItems count="4">
        <s v="IT"/>
        <s v="Admin"/>
        <s v="Operations"/>
        <s v="Marketing"/>
      </sharedItems>
    </cacheField>
    <cacheField name="Expense Category" numFmtId="0">
      <sharedItems count="4">
        <s v="Consulting"/>
        <s v="Travel"/>
        <s v="Supplies"/>
        <s v="Software"/>
      </sharedItems>
    </cacheField>
    <cacheField name="Expense Amount" numFmtId="0">
      <sharedItems containsSemiMixedTypes="0" containsString="0" containsNumber="1" containsInteger="1" minValue="1399" maxValue="9223"/>
    </cacheField>
    <cacheField name="Budget" numFmtId="0">
      <sharedItems containsSemiMixedTypes="0" containsString="0" containsNumber="1" containsInteger="1" minValue="5074" maxValue="14543"/>
    </cacheField>
    <cacheField name="Date" numFmtId="14">
      <sharedItems containsSemiMixedTypes="0" containsNonDate="0" containsDate="1" containsString="0" minDate="2023-01-15T00:00:00" maxDate="2023-12-21T00:00:00" count="29">
        <d v="2023-06-14T00:00:00"/>
        <d v="2023-07-04T00:00:00"/>
        <d v="2023-07-18T00:00:00"/>
        <d v="2023-12-20T00:00:00"/>
        <d v="2023-04-06T00:00:00"/>
        <d v="2023-04-18T00:00:00"/>
        <d v="2023-06-28T00:00:00"/>
        <d v="2023-11-30T00:00:00"/>
        <d v="2023-09-07T00:00:00"/>
        <d v="2023-01-15T00:00:00"/>
        <d v="2023-09-22T00:00:00"/>
        <d v="2023-08-02T00:00:00"/>
        <d v="2023-02-23T00:00:00"/>
        <d v="2023-08-14T00:00:00"/>
        <d v="2023-09-14T00:00:00"/>
        <d v="2023-11-03T00:00:00"/>
        <d v="2023-07-21T00:00:00"/>
        <d v="2023-10-11T00:00:00"/>
        <d v="2023-04-25T00:00:00"/>
        <d v="2023-07-23T00:00:00"/>
        <d v="2023-08-20T00:00:00"/>
        <d v="2023-05-20T00:00:00"/>
        <d v="2023-09-08T00:00:00"/>
        <d v="2023-03-18T00:00:00"/>
        <d v="2023-05-17T00:00:00"/>
        <d v="2023-11-29T00:00:00"/>
        <d v="2023-07-11T00:00:00"/>
        <d v="2023-12-17T00:00:00"/>
        <d v="2023-07-13T00:00:00"/>
      </sharedItems>
      <fieldGroup par="7"/>
    </cacheField>
    <cacheField name="Project Name" numFmtId="0">
      <sharedItems count="4">
        <s v="Delta"/>
        <s v="Alpha"/>
        <s v="Gamma"/>
        <s v="Beta"/>
      </sharedItems>
    </cacheField>
    <cacheField name="%Budget Used" numFmtId="0" formula="'Expense Amount'/Budget" databaseField="0"/>
    <cacheField name="Months (Date)" numFmtId="0" databaseField="0">
      <fieldGroup base="4">
        <rangePr groupBy="months" startDate="2023-01-15T00:00:00" endDate="2023-12-21T00:00:00"/>
        <groupItems count="14">
          <s v="&lt;1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 Poonia" refreshedDate="46028.436211111111" createdVersion="8" refreshedVersion="8" minRefreshableVersion="3" recordCount="30" xr:uid="{D69C43CA-C41E-478E-9672-62C1AF578E4E}">
  <cacheSource type="worksheet">
    <worksheetSource ref="A1:H31" sheet="Customer Orders"/>
  </cacheSource>
  <cacheFields count="10">
    <cacheField name="Order ID" numFmtId="0">
      <sharedItems/>
    </cacheField>
    <cacheField name="Customer Name" numFmtId="0">
      <sharedItems count="5">
        <s v="Adani"/>
        <s v="Tata"/>
        <s v="HUL"/>
        <s v="Reliance"/>
        <s v="Flipkart"/>
      </sharedItems>
    </cacheField>
    <cacheField name="Order Date" numFmtId="14">
      <sharedItems containsSemiMixedTypes="0" containsNonDate="0" containsDate="1" containsString="0" minDate="2023-02-01T00:00:00" maxDate="2023-11-24T00:00:00" count="30">
        <d v="2023-05-03T00:00:00"/>
        <d v="2023-05-19T00:00:00"/>
        <d v="2023-02-20T00:00:00"/>
        <d v="2023-10-01T00:00:00"/>
        <d v="2023-10-24T00:00:00"/>
        <d v="2023-11-08T00:00:00"/>
        <d v="2023-07-04T00:00:00"/>
        <d v="2023-08-05T00:00:00"/>
        <d v="2023-07-18T00:00:00"/>
        <d v="2023-09-30T00:00:00"/>
        <d v="2023-05-22T00:00:00"/>
        <d v="2023-10-08T00:00:00"/>
        <d v="2023-07-23T00:00:00"/>
        <d v="2023-09-13T00:00:00"/>
        <d v="2023-10-19T00:00:00"/>
        <d v="2023-03-21T00:00:00"/>
        <d v="2023-07-28T00:00:00"/>
        <d v="2023-02-01T00:00:00"/>
        <d v="2023-09-27T00:00:00"/>
        <d v="2023-11-23T00:00:00"/>
        <d v="2023-06-13T00:00:00"/>
        <d v="2023-04-23T00:00:00"/>
        <d v="2023-08-03T00:00:00"/>
        <d v="2023-05-25T00:00:00"/>
        <d v="2023-05-04T00:00:00"/>
        <d v="2023-10-12T00:00:00"/>
        <d v="2023-06-04T00:00:00"/>
        <d v="2023-02-25T00:00:00"/>
        <d v="2023-11-06T00:00:00"/>
        <d v="2023-11-20T00:00:00"/>
      </sharedItems>
      <fieldGroup par="9"/>
    </cacheField>
    <cacheField name="Delivery Date" numFmtId="14">
      <sharedItems containsSemiMixedTypes="0" containsNonDate="0" containsDate="1" containsString="0" minDate="2023-02-02T00:00:00" maxDate="2023-12-02T00:00:00"/>
    </cacheField>
    <cacheField name="Product" numFmtId="0">
      <sharedItems count="4">
        <s v="Switch"/>
        <s v="Access Point"/>
        <s v="Router"/>
        <s v="Modem"/>
      </sharedItems>
    </cacheField>
    <cacheField name="Order Value" numFmtId="0">
      <sharedItems containsSemiMixedTypes="0" containsString="0" containsNumber="1" containsInteger="1" minValue="5730" maxValue="48063"/>
    </cacheField>
    <cacheField name="Delivery Status" numFmtId="0">
      <sharedItems count="2">
        <s v="On Time"/>
        <s v="Delayed"/>
      </sharedItems>
    </cacheField>
    <cacheField name="Delivery Duration (Days)" numFmtId="0">
      <sharedItems containsSemiMixedTypes="0" containsString="0" containsNumber="1" containsInteger="1" minValue="1" maxValue="10"/>
    </cacheField>
    <cacheField name="Months (Order Date)" numFmtId="0" databaseField="0">
      <fieldGroup base="2">
        <rangePr groupBy="months" startDate="2023-02-01T00:00:00" endDate="2023-11-24T00:00:00"/>
        <groupItems count="14">
          <s v="&lt;01-0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1-2023"/>
        </groupItems>
      </fieldGroup>
    </cacheField>
    <cacheField name="Years (Order Date)" numFmtId="0" databaseField="0">
      <fieldGroup base="2">
        <rangePr groupBy="years" startDate="2023-02-01T00:00:00" endDate="2023-11-24T00:00:00"/>
        <groupItems count="3">
          <s v="&lt;01-02-2023"/>
          <s v="2023"/>
          <s v="&gt;24-11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n v="12"/>
    <n v="809"/>
    <n v="9708"/>
    <n v="1941.6"/>
  </r>
  <r>
    <x v="1"/>
    <x v="0"/>
    <x v="1"/>
    <x v="0"/>
    <n v="10"/>
    <n v="418"/>
    <n v="4180"/>
    <n v="836"/>
  </r>
  <r>
    <x v="2"/>
    <x v="1"/>
    <x v="2"/>
    <x v="1"/>
    <n v="12"/>
    <n v="528"/>
    <n v="6336"/>
    <n v="1267.2"/>
  </r>
  <r>
    <x v="3"/>
    <x v="2"/>
    <x v="3"/>
    <x v="2"/>
    <n v="10"/>
    <n v="761"/>
    <n v="7610"/>
    <n v="1522"/>
  </r>
  <r>
    <x v="4"/>
    <x v="1"/>
    <x v="2"/>
    <x v="1"/>
    <n v="20"/>
    <n v="216"/>
    <n v="4320"/>
    <n v="864"/>
  </r>
  <r>
    <x v="5"/>
    <x v="1"/>
    <x v="2"/>
    <x v="3"/>
    <n v="20"/>
    <n v="975"/>
    <n v="19500"/>
    <n v="3900"/>
  </r>
  <r>
    <x v="6"/>
    <x v="2"/>
    <x v="1"/>
    <x v="0"/>
    <n v="14"/>
    <n v="779"/>
    <n v="10906"/>
    <n v="2181.1999999999998"/>
  </r>
  <r>
    <x v="0"/>
    <x v="0"/>
    <x v="0"/>
    <x v="1"/>
    <n v="17"/>
    <n v="637"/>
    <n v="10829"/>
    <n v="2165.8000000000002"/>
  </r>
  <r>
    <x v="7"/>
    <x v="2"/>
    <x v="2"/>
    <x v="3"/>
    <n v="19"/>
    <n v="877"/>
    <n v="16663"/>
    <n v="3332.6"/>
  </r>
  <r>
    <x v="8"/>
    <x v="3"/>
    <x v="1"/>
    <x v="0"/>
    <n v="6"/>
    <n v="579"/>
    <n v="3474"/>
    <n v="694.80000000000007"/>
  </r>
  <r>
    <x v="9"/>
    <x v="2"/>
    <x v="3"/>
    <x v="3"/>
    <n v="4"/>
    <n v="945"/>
    <n v="3780"/>
    <n v="756"/>
  </r>
  <r>
    <x v="10"/>
    <x v="0"/>
    <x v="1"/>
    <x v="3"/>
    <n v="7"/>
    <n v="312"/>
    <n v="2184"/>
    <n v="436.8"/>
  </r>
  <r>
    <x v="11"/>
    <x v="3"/>
    <x v="4"/>
    <x v="1"/>
    <n v="20"/>
    <n v="541"/>
    <n v="10820"/>
    <n v="2164"/>
  </r>
  <r>
    <x v="12"/>
    <x v="3"/>
    <x v="0"/>
    <x v="4"/>
    <n v="20"/>
    <n v="566"/>
    <n v="11320"/>
    <n v="2264"/>
  </r>
  <r>
    <x v="13"/>
    <x v="2"/>
    <x v="0"/>
    <x v="4"/>
    <n v="1"/>
    <n v="995"/>
    <n v="995"/>
    <n v="199"/>
  </r>
  <r>
    <x v="14"/>
    <x v="1"/>
    <x v="0"/>
    <x v="4"/>
    <n v="20"/>
    <n v="877"/>
    <n v="17540"/>
    <n v="3508"/>
  </r>
  <r>
    <x v="15"/>
    <x v="2"/>
    <x v="1"/>
    <x v="0"/>
    <n v="4"/>
    <n v="545"/>
    <n v="2180"/>
    <n v="436"/>
  </r>
  <r>
    <x v="12"/>
    <x v="3"/>
    <x v="4"/>
    <x v="3"/>
    <n v="1"/>
    <n v="970"/>
    <n v="970"/>
    <n v="194"/>
  </r>
  <r>
    <x v="16"/>
    <x v="0"/>
    <x v="3"/>
    <x v="2"/>
    <n v="10"/>
    <n v="267"/>
    <n v="2670"/>
    <n v="534"/>
  </r>
  <r>
    <x v="17"/>
    <x v="2"/>
    <x v="2"/>
    <x v="4"/>
    <n v="17"/>
    <n v="318"/>
    <n v="5406"/>
    <n v="1081.2"/>
  </r>
  <r>
    <x v="18"/>
    <x v="0"/>
    <x v="3"/>
    <x v="0"/>
    <n v="7"/>
    <n v="164"/>
    <n v="1148"/>
    <n v="229.6"/>
  </r>
  <r>
    <x v="19"/>
    <x v="1"/>
    <x v="1"/>
    <x v="4"/>
    <n v="16"/>
    <n v="617"/>
    <n v="9872"/>
    <n v="1974.4"/>
  </r>
  <r>
    <x v="20"/>
    <x v="1"/>
    <x v="2"/>
    <x v="0"/>
    <n v="13"/>
    <n v="281"/>
    <n v="3653"/>
    <n v="730.6"/>
  </r>
  <r>
    <x v="21"/>
    <x v="1"/>
    <x v="2"/>
    <x v="4"/>
    <n v="13"/>
    <n v="895"/>
    <n v="11635"/>
    <n v="2327"/>
  </r>
  <r>
    <x v="22"/>
    <x v="3"/>
    <x v="2"/>
    <x v="0"/>
    <n v="10"/>
    <n v="457"/>
    <n v="4570"/>
    <n v="914"/>
  </r>
  <r>
    <x v="23"/>
    <x v="1"/>
    <x v="0"/>
    <x v="2"/>
    <n v="8"/>
    <n v="945"/>
    <n v="7560"/>
    <n v="1512"/>
  </r>
  <r>
    <x v="24"/>
    <x v="1"/>
    <x v="2"/>
    <x v="3"/>
    <n v="9"/>
    <n v="873"/>
    <n v="7857"/>
    <n v="1571.4"/>
  </r>
  <r>
    <x v="25"/>
    <x v="3"/>
    <x v="2"/>
    <x v="0"/>
    <n v="17"/>
    <n v="828"/>
    <n v="14076"/>
    <n v="2815.2"/>
  </r>
  <r>
    <x v="26"/>
    <x v="2"/>
    <x v="2"/>
    <x v="3"/>
    <n v="16"/>
    <n v="515"/>
    <n v="8240"/>
    <n v="1648"/>
  </r>
  <r>
    <x v="19"/>
    <x v="1"/>
    <x v="2"/>
    <x v="1"/>
    <n v="2"/>
    <n v="918"/>
    <n v="1836"/>
    <n v="367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48"/>
    <d v="2023-01-30T00:00:00"/>
    <x v="0"/>
    <x v="0"/>
    <n v="57360"/>
  </r>
  <r>
    <x v="1"/>
    <x v="1"/>
    <x v="0"/>
    <n v="44"/>
    <d v="2023-02-04T00:00:00"/>
    <x v="1"/>
    <x v="0"/>
    <n v="39014"/>
  </r>
  <r>
    <x v="2"/>
    <x v="1"/>
    <x v="1"/>
    <n v="44"/>
    <d v="2021-12-04T00:00:00"/>
    <x v="2"/>
    <x v="1"/>
    <n v="30083"/>
  </r>
  <r>
    <x v="3"/>
    <x v="0"/>
    <x v="1"/>
    <n v="23"/>
    <d v="2021-05-04T00:00:00"/>
    <x v="3"/>
    <x v="0"/>
    <n v="71032"/>
  </r>
  <r>
    <x v="4"/>
    <x v="1"/>
    <x v="0"/>
    <n v="48"/>
    <d v="2022-03-28T00:00:00"/>
    <x v="2"/>
    <x v="1"/>
    <n v="46427"/>
  </r>
  <r>
    <x v="5"/>
    <x v="1"/>
    <x v="0"/>
    <n v="36"/>
    <d v="2023-03-15T00:00:00"/>
    <x v="4"/>
    <x v="0"/>
    <n v="104801"/>
  </r>
  <r>
    <x v="6"/>
    <x v="2"/>
    <x v="1"/>
    <n v="31"/>
    <d v="2023-03-18T00:00:00"/>
    <x v="5"/>
    <x v="0"/>
    <n v="63913"/>
  </r>
  <r>
    <x v="7"/>
    <x v="0"/>
    <x v="1"/>
    <n v="39"/>
    <d v="2020-02-06T00:00:00"/>
    <x v="2"/>
    <x v="1"/>
    <n v="79964"/>
  </r>
  <r>
    <x v="8"/>
    <x v="3"/>
    <x v="1"/>
    <n v="41"/>
    <d v="2021-07-18T00:00:00"/>
    <x v="6"/>
    <x v="0"/>
    <n v="71187"/>
  </r>
  <r>
    <x v="9"/>
    <x v="2"/>
    <x v="1"/>
    <n v="33"/>
    <d v="2020-11-25T00:00:00"/>
    <x v="7"/>
    <x v="0"/>
    <n v="85778"/>
  </r>
  <r>
    <x v="10"/>
    <x v="4"/>
    <x v="0"/>
    <n v="44"/>
    <d v="2023-12-19T00:00:00"/>
    <x v="8"/>
    <x v="0"/>
    <n v="38642"/>
  </r>
  <r>
    <x v="11"/>
    <x v="2"/>
    <x v="1"/>
    <n v="39"/>
    <d v="2023-02-03T00:00:00"/>
    <x v="9"/>
    <x v="0"/>
    <n v="52972"/>
  </r>
  <r>
    <x v="12"/>
    <x v="4"/>
    <x v="1"/>
    <n v="49"/>
    <d v="2021-01-31T00:00:00"/>
    <x v="10"/>
    <x v="0"/>
    <n v="105379"/>
  </r>
  <r>
    <x v="13"/>
    <x v="1"/>
    <x v="1"/>
    <n v="34"/>
    <d v="2023-07-12T00:00:00"/>
    <x v="2"/>
    <x v="1"/>
    <n v="107731"/>
  </r>
  <r>
    <x v="14"/>
    <x v="1"/>
    <x v="1"/>
    <n v="27"/>
    <d v="2021-04-13T00:00:00"/>
    <x v="2"/>
    <x v="1"/>
    <n v="32559"/>
  </r>
  <r>
    <x v="15"/>
    <x v="2"/>
    <x v="0"/>
    <n v="44"/>
    <d v="2020-02-21T00:00:00"/>
    <x v="11"/>
    <x v="0"/>
    <n v="55865"/>
  </r>
  <r>
    <x v="16"/>
    <x v="2"/>
    <x v="1"/>
    <n v="25"/>
    <d v="2022-08-03T00:00:00"/>
    <x v="12"/>
    <x v="0"/>
    <n v="98094"/>
  </r>
  <r>
    <x v="17"/>
    <x v="3"/>
    <x v="0"/>
    <n v="33"/>
    <d v="2021-08-28T00:00:00"/>
    <x v="2"/>
    <x v="1"/>
    <n v="90546"/>
  </r>
  <r>
    <x v="18"/>
    <x v="3"/>
    <x v="1"/>
    <n v="22"/>
    <d v="2020-01-22T00:00:00"/>
    <x v="13"/>
    <x v="0"/>
    <n v="34566"/>
  </r>
  <r>
    <x v="19"/>
    <x v="3"/>
    <x v="0"/>
    <n v="24"/>
    <d v="2020-10-25T00:00:00"/>
    <x v="14"/>
    <x v="0"/>
    <n v="105366"/>
  </r>
  <r>
    <x v="20"/>
    <x v="0"/>
    <x v="0"/>
    <n v="30"/>
    <d v="2022-03-04T00:00:00"/>
    <x v="2"/>
    <x v="1"/>
    <n v="63032"/>
  </r>
  <r>
    <x v="21"/>
    <x v="1"/>
    <x v="1"/>
    <n v="29"/>
    <d v="2021-09-25T00:00:00"/>
    <x v="2"/>
    <x v="1"/>
    <n v="65831"/>
  </r>
  <r>
    <x v="22"/>
    <x v="3"/>
    <x v="1"/>
    <n v="46"/>
    <d v="2022-12-03T00:00:00"/>
    <x v="15"/>
    <x v="0"/>
    <n v="34892"/>
  </r>
  <r>
    <x v="23"/>
    <x v="4"/>
    <x v="0"/>
    <n v="31"/>
    <d v="2020-02-23T00:00:00"/>
    <x v="2"/>
    <x v="1"/>
    <n v="31149"/>
  </r>
  <r>
    <x v="24"/>
    <x v="2"/>
    <x v="0"/>
    <n v="41"/>
    <d v="2023-10-09T00:00:00"/>
    <x v="16"/>
    <x v="0"/>
    <n v="42901"/>
  </r>
  <r>
    <x v="25"/>
    <x v="4"/>
    <x v="1"/>
    <n v="41"/>
    <d v="2023-08-09T00:00:00"/>
    <x v="2"/>
    <x v="1"/>
    <n v="84454"/>
  </r>
  <r>
    <x v="26"/>
    <x v="4"/>
    <x v="0"/>
    <n v="32"/>
    <d v="2022-02-09T00:00:00"/>
    <x v="17"/>
    <x v="0"/>
    <n v="57114"/>
  </r>
  <r>
    <x v="27"/>
    <x v="2"/>
    <x v="1"/>
    <n v="37"/>
    <d v="2023-09-10T00:00:00"/>
    <x v="18"/>
    <x v="0"/>
    <n v="64488"/>
  </r>
  <r>
    <x v="28"/>
    <x v="4"/>
    <x v="0"/>
    <n v="41"/>
    <d v="2022-06-27T00:00:00"/>
    <x v="19"/>
    <x v="0"/>
    <n v="89017"/>
  </r>
  <r>
    <x v="29"/>
    <x v="2"/>
    <x v="1"/>
    <n v="28"/>
    <d v="2023-10-11T00:00:00"/>
    <x v="20"/>
    <x v="0"/>
    <n v="1056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120"/>
    <n v="80"/>
    <n v="84"/>
    <x v="0"/>
    <n v="124"/>
  </r>
  <r>
    <x v="1"/>
    <x v="1"/>
    <x v="1"/>
    <n v="132"/>
    <n v="54"/>
    <n v="28"/>
    <x v="1"/>
    <n v="106"/>
  </r>
  <r>
    <x v="2"/>
    <x v="0"/>
    <x v="0"/>
    <n v="54"/>
    <n v="79"/>
    <n v="25"/>
    <x v="2"/>
    <n v="0"/>
  </r>
  <r>
    <x v="3"/>
    <x v="0"/>
    <x v="2"/>
    <n v="184"/>
    <n v="75"/>
    <n v="81"/>
    <x v="3"/>
    <n v="190"/>
  </r>
  <r>
    <x v="4"/>
    <x v="2"/>
    <x v="0"/>
    <n v="100"/>
    <n v="44"/>
    <n v="29"/>
    <x v="4"/>
    <n v="85"/>
  </r>
  <r>
    <x v="5"/>
    <x v="1"/>
    <x v="1"/>
    <n v="163"/>
    <n v="67"/>
    <n v="63"/>
    <x v="5"/>
    <n v="159"/>
  </r>
  <r>
    <x v="6"/>
    <x v="2"/>
    <x v="0"/>
    <n v="196"/>
    <n v="64"/>
    <n v="44"/>
    <x v="6"/>
    <n v="176"/>
  </r>
  <r>
    <x v="7"/>
    <x v="0"/>
    <x v="1"/>
    <n v="194"/>
    <n v="46"/>
    <n v="91"/>
    <x v="7"/>
    <n v="239"/>
  </r>
  <r>
    <x v="8"/>
    <x v="2"/>
    <x v="0"/>
    <n v="95"/>
    <n v="15"/>
    <n v="49"/>
    <x v="8"/>
    <n v="129"/>
  </r>
  <r>
    <x v="9"/>
    <x v="2"/>
    <x v="1"/>
    <n v="97"/>
    <n v="33"/>
    <n v="62"/>
    <x v="9"/>
    <n v="126"/>
  </r>
  <r>
    <x v="10"/>
    <x v="2"/>
    <x v="1"/>
    <n v="177"/>
    <n v="63"/>
    <n v="67"/>
    <x v="10"/>
    <n v="181"/>
  </r>
  <r>
    <x v="11"/>
    <x v="0"/>
    <x v="1"/>
    <n v="114"/>
    <n v="72"/>
    <n v="63"/>
    <x v="11"/>
    <n v="105"/>
  </r>
  <r>
    <x v="12"/>
    <x v="1"/>
    <x v="1"/>
    <n v="122"/>
    <n v="55"/>
    <n v="68"/>
    <x v="12"/>
    <n v="135"/>
  </r>
  <r>
    <x v="13"/>
    <x v="0"/>
    <x v="1"/>
    <n v="188"/>
    <n v="32"/>
    <n v="26"/>
    <x v="13"/>
    <n v="182"/>
  </r>
  <r>
    <x v="14"/>
    <x v="0"/>
    <x v="0"/>
    <n v="181"/>
    <n v="66"/>
    <n v="50"/>
    <x v="14"/>
    <n v="165"/>
  </r>
  <r>
    <x v="15"/>
    <x v="0"/>
    <x v="2"/>
    <n v="71"/>
    <n v="36"/>
    <n v="65"/>
    <x v="15"/>
    <n v="100"/>
  </r>
  <r>
    <x v="16"/>
    <x v="0"/>
    <x v="2"/>
    <n v="106"/>
    <n v="10"/>
    <n v="25"/>
    <x v="16"/>
    <n v="121"/>
  </r>
  <r>
    <x v="17"/>
    <x v="0"/>
    <x v="0"/>
    <n v="129"/>
    <n v="22"/>
    <n v="70"/>
    <x v="17"/>
    <n v="177"/>
  </r>
  <r>
    <x v="18"/>
    <x v="0"/>
    <x v="0"/>
    <n v="170"/>
    <n v="56"/>
    <n v="21"/>
    <x v="18"/>
    <n v="135"/>
  </r>
  <r>
    <x v="19"/>
    <x v="0"/>
    <x v="0"/>
    <n v="128"/>
    <n v="40"/>
    <n v="28"/>
    <x v="19"/>
    <n v="116"/>
  </r>
  <r>
    <x v="20"/>
    <x v="2"/>
    <x v="0"/>
    <n v="56"/>
    <n v="46"/>
    <n v="66"/>
    <x v="20"/>
    <n v="76"/>
  </r>
  <r>
    <x v="21"/>
    <x v="2"/>
    <x v="0"/>
    <n v="136"/>
    <n v="20"/>
    <n v="59"/>
    <x v="21"/>
    <n v="175"/>
  </r>
  <r>
    <x v="22"/>
    <x v="0"/>
    <x v="1"/>
    <n v="68"/>
    <n v="56"/>
    <n v="70"/>
    <x v="22"/>
    <n v="82"/>
  </r>
  <r>
    <x v="23"/>
    <x v="1"/>
    <x v="2"/>
    <n v="165"/>
    <n v="68"/>
    <n v="47"/>
    <x v="23"/>
    <n v="144"/>
  </r>
  <r>
    <x v="24"/>
    <x v="2"/>
    <x v="1"/>
    <n v="71"/>
    <n v="68"/>
    <n v="57"/>
    <x v="24"/>
    <n v="60"/>
  </r>
  <r>
    <x v="25"/>
    <x v="2"/>
    <x v="2"/>
    <n v="56"/>
    <n v="70"/>
    <n v="75"/>
    <x v="25"/>
    <n v="61"/>
  </r>
  <r>
    <x v="26"/>
    <x v="2"/>
    <x v="2"/>
    <n v="80"/>
    <n v="61"/>
    <n v="39"/>
    <x v="26"/>
    <n v="58"/>
  </r>
  <r>
    <x v="27"/>
    <x v="1"/>
    <x v="1"/>
    <n v="70"/>
    <n v="68"/>
    <n v="46"/>
    <x v="27"/>
    <n v="48"/>
  </r>
  <r>
    <x v="28"/>
    <x v="0"/>
    <x v="0"/>
    <n v="143"/>
    <n v="49"/>
    <n v="44"/>
    <x v="28"/>
    <n v="138"/>
  </r>
  <r>
    <x v="29"/>
    <x v="2"/>
    <x v="2"/>
    <n v="168"/>
    <n v="29"/>
    <n v="77"/>
    <x v="29"/>
    <n v="2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3707"/>
    <n v="5413"/>
    <x v="0"/>
    <x v="0"/>
  </r>
  <r>
    <x v="1"/>
    <x v="1"/>
    <n v="8341"/>
    <n v="10963"/>
    <x v="1"/>
    <x v="1"/>
  </r>
  <r>
    <x v="2"/>
    <x v="2"/>
    <n v="8733"/>
    <n v="8992"/>
    <x v="2"/>
    <x v="2"/>
  </r>
  <r>
    <x v="2"/>
    <x v="3"/>
    <n v="1403"/>
    <n v="7501"/>
    <x v="3"/>
    <x v="0"/>
  </r>
  <r>
    <x v="1"/>
    <x v="3"/>
    <n v="5713"/>
    <n v="11398"/>
    <x v="4"/>
    <x v="0"/>
  </r>
  <r>
    <x v="2"/>
    <x v="0"/>
    <n v="9223"/>
    <n v="13529"/>
    <x v="5"/>
    <x v="3"/>
  </r>
  <r>
    <x v="1"/>
    <x v="1"/>
    <n v="2901"/>
    <n v="12206"/>
    <x v="6"/>
    <x v="1"/>
  </r>
  <r>
    <x v="1"/>
    <x v="2"/>
    <n v="2121"/>
    <n v="11558"/>
    <x v="7"/>
    <x v="1"/>
  </r>
  <r>
    <x v="0"/>
    <x v="2"/>
    <n v="4478"/>
    <n v="12258"/>
    <x v="8"/>
    <x v="3"/>
  </r>
  <r>
    <x v="0"/>
    <x v="1"/>
    <n v="3137"/>
    <n v="10509"/>
    <x v="9"/>
    <x v="3"/>
  </r>
  <r>
    <x v="2"/>
    <x v="3"/>
    <n v="3272"/>
    <n v="11154"/>
    <x v="10"/>
    <x v="1"/>
  </r>
  <r>
    <x v="0"/>
    <x v="3"/>
    <n v="7552"/>
    <n v="5819"/>
    <x v="11"/>
    <x v="2"/>
  </r>
  <r>
    <x v="1"/>
    <x v="1"/>
    <n v="1399"/>
    <n v="5098"/>
    <x v="12"/>
    <x v="3"/>
  </r>
  <r>
    <x v="0"/>
    <x v="2"/>
    <n v="9009"/>
    <n v="8963"/>
    <x v="13"/>
    <x v="1"/>
  </r>
  <r>
    <x v="0"/>
    <x v="0"/>
    <n v="8645"/>
    <n v="8210"/>
    <x v="14"/>
    <x v="0"/>
  </r>
  <r>
    <x v="3"/>
    <x v="3"/>
    <n v="2694"/>
    <n v="7831"/>
    <x v="15"/>
    <x v="2"/>
  </r>
  <r>
    <x v="1"/>
    <x v="3"/>
    <n v="3568"/>
    <n v="6065"/>
    <x v="16"/>
    <x v="0"/>
  </r>
  <r>
    <x v="2"/>
    <x v="1"/>
    <n v="7045"/>
    <n v="14543"/>
    <x v="17"/>
    <x v="2"/>
  </r>
  <r>
    <x v="0"/>
    <x v="0"/>
    <n v="3754"/>
    <n v="13533"/>
    <x v="18"/>
    <x v="3"/>
  </r>
  <r>
    <x v="1"/>
    <x v="1"/>
    <n v="6762"/>
    <n v="5074"/>
    <x v="19"/>
    <x v="3"/>
  </r>
  <r>
    <x v="1"/>
    <x v="1"/>
    <n v="5297"/>
    <n v="10525"/>
    <x v="20"/>
    <x v="0"/>
  </r>
  <r>
    <x v="3"/>
    <x v="3"/>
    <n v="3504"/>
    <n v="5695"/>
    <x v="21"/>
    <x v="3"/>
  </r>
  <r>
    <x v="1"/>
    <x v="2"/>
    <n v="6705"/>
    <n v="8911"/>
    <x v="22"/>
    <x v="0"/>
  </r>
  <r>
    <x v="3"/>
    <x v="2"/>
    <n v="5364"/>
    <n v="8292"/>
    <x v="3"/>
    <x v="3"/>
  </r>
  <r>
    <x v="2"/>
    <x v="1"/>
    <n v="2771"/>
    <n v="14172"/>
    <x v="23"/>
    <x v="1"/>
  </r>
  <r>
    <x v="1"/>
    <x v="2"/>
    <n v="3886"/>
    <n v="5220"/>
    <x v="24"/>
    <x v="1"/>
  </r>
  <r>
    <x v="1"/>
    <x v="1"/>
    <n v="7567"/>
    <n v="13183"/>
    <x v="25"/>
    <x v="0"/>
  </r>
  <r>
    <x v="0"/>
    <x v="1"/>
    <n v="4229"/>
    <n v="7593"/>
    <x v="26"/>
    <x v="3"/>
  </r>
  <r>
    <x v="0"/>
    <x v="2"/>
    <n v="3656"/>
    <n v="14541"/>
    <x v="27"/>
    <x v="1"/>
  </r>
  <r>
    <x v="2"/>
    <x v="1"/>
    <n v="8425"/>
    <n v="12388"/>
    <x v="28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1000"/>
    <x v="0"/>
    <x v="0"/>
    <d v="2023-05-10T00:00:00"/>
    <x v="0"/>
    <n v="6604"/>
    <x v="0"/>
    <n v="7"/>
  </r>
  <r>
    <s v="O1001"/>
    <x v="0"/>
    <x v="1"/>
    <d v="2023-05-20T00:00:00"/>
    <x v="1"/>
    <n v="32671"/>
    <x v="0"/>
    <n v="1"/>
  </r>
  <r>
    <s v="O1002"/>
    <x v="1"/>
    <x v="2"/>
    <d v="2023-02-26T00:00:00"/>
    <x v="1"/>
    <n v="38799"/>
    <x v="0"/>
    <n v="6"/>
  </r>
  <r>
    <s v="O1003"/>
    <x v="2"/>
    <x v="3"/>
    <d v="2023-10-04T00:00:00"/>
    <x v="2"/>
    <n v="40016"/>
    <x v="0"/>
    <n v="3"/>
  </r>
  <r>
    <s v="O1004"/>
    <x v="2"/>
    <x v="4"/>
    <d v="2023-11-03T00:00:00"/>
    <x v="1"/>
    <n v="15591"/>
    <x v="1"/>
    <n v="10"/>
  </r>
  <r>
    <s v="O1005"/>
    <x v="3"/>
    <x v="5"/>
    <d v="2023-11-13T00:00:00"/>
    <x v="3"/>
    <n v="6929"/>
    <x v="1"/>
    <n v="5"/>
  </r>
  <r>
    <s v="O1006"/>
    <x v="1"/>
    <x v="6"/>
    <d v="2023-07-13T00:00:00"/>
    <x v="1"/>
    <n v="32236"/>
    <x v="0"/>
    <n v="9"/>
  </r>
  <r>
    <s v="O1007"/>
    <x v="1"/>
    <x v="7"/>
    <d v="2023-08-15T00:00:00"/>
    <x v="0"/>
    <n v="7082"/>
    <x v="0"/>
    <n v="10"/>
  </r>
  <r>
    <s v="O1008"/>
    <x v="3"/>
    <x v="8"/>
    <d v="2023-07-25T00:00:00"/>
    <x v="0"/>
    <n v="40232"/>
    <x v="0"/>
    <n v="7"/>
  </r>
  <r>
    <s v="O1009"/>
    <x v="0"/>
    <x v="9"/>
    <d v="2023-10-07T00:00:00"/>
    <x v="2"/>
    <n v="34502"/>
    <x v="0"/>
    <n v="7"/>
  </r>
  <r>
    <s v="O1010"/>
    <x v="1"/>
    <x v="10"/>
    <d v="2023-05-24T00:00:00"/>
    <x v="3"/>
    <n v="22818"/>
    <x v="1"/>
    <n v="2"/>
  </r>
  <r>
    <s v="O1011"/>
    <x v="2"/>
    <x v="11"/>
    <d v="2023-10-18T00:00:00"/>
    <x v="2"/>
    <n v="45236"/>
    <x v="1"/>
    <n v="10"/>
  </r>
  <r>
    <s v="O1012"/>
    <x v="3"/>
    <x v="12"/>
    <d v="2023-07-30T00:00:00"/>
    <x v="3"/>
    <n v="47188"/>
    <x v="0"/>
    <n v="7"/>
  </r>
  <r>
    <s v="O1013"/>
    <x v="2"/>
    <x v="13"/>
    <d v="2023-09-19T00:00:00"/>
    <x v="3"/>
    <n v="40135"/>
    <x v="1"/>
    <n v="6"/>
  </r>
  <r>
    <s v="O1014"/>
    <x v="4"/>
    <x v="14"/>
    <d v="2023-10-22T00:00:00"/>
    <x v="1"/>
    <n v="36682"/>
    <x v="1"/>
    <n v="3"/>
  </r>
  <r>
    <s v="O1015"/>
    <x v="2"/>
    <x v="15"/>
    <d v="2023-03-28T00:00:00"/>
    <x v="0"/>
    <n v="14341"/>
    <x v="1"/>
    <n v="7"/>
  </r>
  <r>
    <s v="O1016"/>
    <x v="4"/>
    <x v="16"/>
    <d v="2023-08-03T00:00:00"/>
    <x v="3"/>
    <n v="20862"/>
    <x v="1"/>
    <n v="6"/>
  </r>
  <r>
    <s v="O1017"/>
    <x v="2"/>
    <x v="17"/>
    <d v="2023-02-02T00:00:00"/>
    <x v="1"/>
    <n v="46396"/>
    <x v="0"/>
    <n v="1"/>
  </r>
  <r>
    <s v="O1018"/>
    <x v="1"/>
    <x v="18"/>
    <d v="2023-09-28T00:00:00"/>
    <x v="1"/>
    <n v="13146"/>
    <x v="1"/>
    <n v="1"/>
  </r>
  <r>
    <s v="O1019"/>
    <x v="4"/>
    <x v="19"/>
    <d v="2023-12-01T00:00:00"/>
    <x v="0"/>
    <n v="30201"/>
    <x v="0"/>
    <n v="8"/>
  </r>
  <r>
    <s v="O1020"/>
    <x v="4"/>
    <x v="20"/>
    <d v="2023-06-19T00:00:00"/>
    <x v="1"/>
    <n v="14442"/>
    <x v="1"/>
    <n v="6"/>
  </r>
  <r>
    <s v="O1021"/>
    <x v="0"/>
    <x v="21"/>
    <d v="2023-05-03T00:00:00"/>
    <x v="0"/>
    <n v="43861"/>
    <x v="0"/>
    <n v="10"/>
  </r>
  <r>
    <s v="O1022"/>
    <x v="2"/>
    <x v="22"/>
    <d v="2023-08-10T00:00:00"/>
    <x v="1"/>
    <n v="8349"/>
    <x v="1"/>
    <n v="7"/>
  </r>
  <r>
    <s v="O1023"/>
    <x v="1"/>
    <x v="23"/>
    <d v="2023-05-26T00:00:00"/>
    <x v="2"/>
    <n v="5730"/>
    <x v="0"/>
    <n v="1"/>
  </r>
  <r>
    <s v="O1024"/>
    <x v="2"/>
    <x v="24"/>
    <d v="2023-05-11T00:00:00"/>
    <x v="0"/>
    <n v="48063"/>
    <x v="1"/>
    <n v="7"/>
  </r>
  <r>
    <s v="O1025"/>
    <x v="0"/>
    <x v="25"/>
    <d v="2023-10-14T00:00:00"/>
    <x v="0"/>
    <n v="12868"/>
    <x v="0"/>
    <n v="2"/>
  </r>
  <r>
    <s v="O1026"/>
    <x v="3"/>
    <x v="26"/>
    <d v="2023-06-13T00:00:00"/>
    <x v="1"/>
    <n v="31361"/>
    <x v="0"/>
    <n v="9"/>
  </r>
  <r>
    <s v="O1027"/>
    <x v="1"/>
    <x v="27"/>
    <d v="2023-03-03T00:00:00"/>
    <x v="0"/>
    <n v="5861"/>
    <x v="1"/>
    <n v="6"/>
  </r>
  <r>
    <s v="O1028"/>
    <x v="4"/>
    <x v="28"/>
    <d v="2023-11-15T00:00:00"/>
    <x v="3"/>
    <n v="30084"/>
    <x v="0"/>
    <n v="9"/>
  </r>
  <r>
    <s v="O1029"/>
    <x v="2"/>
    <x v="29"/>
    <d v="2023-11-23T00:00:00"/>
    <x v="3"/>
    <n v="13255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88640-4F25-449D-9660-F2588F4A15A1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4:B40" firstHeaderRow="1" firstDataRow="1" firstDataCol="1"/>
  <pivotFields count="10">
    <pivotField numFmtId="14" showAll="0">
      <items count="28">
        <item x="21"/>
        <item x="13"/>
        <item x="22"/>
        <item x="10"/>
        <item x="24"/>
        <item x="14"/>
        <item x="3"/>
        <item x="7"/>
        <item x="18"/>
        <item x="0"/>
        <item x="6"/>
        <item x="20"/>
        <item x="15"/>
        <item x="9"/>
        <item x="1"/>
        <item x="12"/>
        <item x="8"/>
        <item x="4"/>
        <item x="11"/>
        <item x="17"/>
        <item x="19"/>
        <item x="23"/>
        <item x="16"/>
        <item x="26"/>
        <item x="5"/>
        <item x="2"/>
        <item x="25"/>
        <item t="default"/>
      </items>
    </pivotField>
    <pivotField showAll="0"/>
    <pivotField showAll="0"/>
    <pivotField axis="axisRow" showAll="0" measureFilter="1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 of Revenue" fld="6" baseField="0" baseItem="0"/>
  </dataFields>
  <formats count="10">
    <format dxfId="39">
      <pivotArea collapsedLevelsAreSubtotals="1" fieldPosition="0">
        <references count="1">
          <reference field="3" count="0"/>
        </references>
      </pivotArea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F37AE-84BD-4AC3-BBA1-2BA7201EFA2F}" name="total revenue by region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J3:K8" firstHeaderRow="1" firstDataRow="1" firstDataCol="1"/>
  <pivotFields count="10">
    <pivotField numFmtId="14" showAll="0">
      <items count="28">
        <item x="21"/>
        <item x="13"/>
        <item x="22"/>
        <item x="10"/>
        <item x="24"/>
        <item x="14"/>
        <item x="3"/>
        <item x="7"/>
        <item x="18"/>
        <item x="0"/>
        <item x="6"/>
        <item x="20"/>
        <item x="15"/>
        <item x="9"/>
        <item x="1"/>
        <item x="12"/>
        <item x="8"/>
        <item x="4"/>
        <item x="11"/>
        <item x="17"/>
        <item x="19"/>
        <item x="23"/>
        <item x="16"/>
        <item x="26"/>
        <item x="5"/>
        <item x="2"/>
        <item x="25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formats count="6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1" type="button" dataOnly="0" labelOnly="1" outline="0" axis="axisRow" fieldPosition="0"/>
    </format>
    <format dxfId="242">
      <pivotArea dataOnly="0" labelOnly="1" fieldPosition="0">
        <references count="1">
          <reference field="1" count="0"/>
        </references>
      </pivotArea>
    </format>
    <format dxfId="241">
      <pivotArea dataOnly="0" labelOnly="1" grandRow="1" outline="0" fieldPosition="0"/>
    </format>
    <format dxfId="2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056A9-26F6-4B19-9B0A-3FCC5642C55C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J20:K33" firstHeaderRow="1" firstDataRow="1" firstDataCol="1"/>
  <pivotFields count="10">
    <pivotField numFmtId="14" showAll="0">
      <items count="28">
        <item x="21"/>
        <item x="13"/>
        <item x="22"/>
        <item x="10"/>
        <item x="24"/>
        <item x="14"/>
        <item x="3"/>
        <item x="7"/>
        <item x="18"/>
        <item x="0"/>
        <item x="6"/>
        <item x="20"/>
        <item x="15"/>
        <item x="9"/>
        <item x="1"/>
        <item x="12"/>
        <item x="8"/>
        <item x="4"/>
        <item x="11"/>
        <item x="17"/>
        <item x="19"/>
        <item x="23"/>
        <item x="16"/>
        <item x="26"/>
        <item x="5"/>
        <item x="2"/>
        <item x="2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</pivotFields>
  <rowFields count="2">
    <field x="9"/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 Sold" fld="4" baseField="9" baseItem="1"/>
  </dataFields>
  <formats count="4">
    <format dxfId="249">
      <pivotArea type="all" dataOnly="0" outline="0" fieldPosition="0"/>
    </format>
    <format dxfId="248">
      <pivotArea outline="0" collapsedLevelsAreSubtotals="1" fieldPosition="0"/>
    </format>
    <format dxfId="247">
      <pivotArea dataOnly="0" labelOnly="1" grandRow="1" outline="0" fieldPosition="0"/>
    </format>
    <format dxfId="2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A08DE-EE0C-4775-82B0-6610D60A6076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person">
  <location ref="J11:L17" firstHeaderRow="0" firstDataRow="1" firstDataCol="1"/>
  <pivotFields count="10">
    <pivotField numFmtId="14" showAll="0">
      <items count="28">
        <item x="21"/>
        <item x="13"/>
        <item x="22"/>
        <item x="10"/>
        <item x="24"/>
        <item x="14"/>
        <item x="3"/>
        <item x="7"/>
        <item x="18"/>
        <item x="0"/>
        <item x="6"/>
        <item x="20"/>
        <item x="15"/>
        <item x="9"/>
        <item x="1"/>
        <item x="12"/>
        <item x="8"/>
        <item x="4"/>
        <item x="11"/>
        <item x="17"/>
        <item x="19"/>
        <item x="23"/>
        <item x="16"/>
        <item x="26"/>
        <item x="5"/>
        <item x="2"/>
        <item x="25"/>
        <item t="default"/>
      </items>
    </pivotField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Profit" fld="7" baseField="0" baseItem="0"/>
  </dataFields>
  <formats count="6"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2" type="button" dataOnly="0" labelOnly="1" outline="0" axis="axisRow" fieldPosition="0"/>
    </format>
    <format dxfId="252">
      <pivotArea dataOnly="0" labelOnly="1" fieldPosition="0">
        <references count="1">
          <reference field="2" count="0"/>
        </references>
      </pivotArea>
    </format>
    <format dxfId="251">
      <pivotArea dataOnly="0" labelOnly="1" grandRow="1" outline="0" fieldPosition="0"/>
    </format>
    <format dxfId="2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F3D0B-6DDD-4883-84B8-A420211B3AD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Gender">
  <location ref="J12:M19" firstHeaderRow="1" firstDataRow="2" firstDataCol="1"/>
  <pivotFields count="9">
    <pivotField dataField="1" showAll="0"/>
    <pivotField axis="axisRow" showAll="0">
      <items count="6">
        <item sd="0" x="2"/>
        <item sd="0" x="0"/>
        <item sd="0" x="1"/>
        <item sd="0" x="3"/>
        <item sd="0"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14" showAll="0"/>
    <pivotField showAll="0">
      <items count="22">
        <item x="10"/>
        <item x="11"/>
        <item x="7"/>
        <item x="14"/>
        <item x="13"/>
        <item x="12"/>
        <item x="6"/>
        <item x="3"/>
        <item x="15"/>
        <item x="19"/>
        <item x="17"/>
        <item x="0"/>
        <item x="16"/>
        <item x="9"/>
        <item x="4"/>
        <item x="1"/>
        <item x="5"/>
        <item x="18"/>
        <item x="8"/>
        <item x="2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count" fld="0" subtotal="count" baseField="0" baseItem="0"/>
  </dataFields>
  <formats count="7"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" type="button" dataOnly="0" labelOnly="1" outline="0" axis="axisRow" fieldPosition="0"/>
    </format>
    <format dxfId="217">
      <pivotArea dataOnly="0" labelOnly="1" fieldPosition="0">
        <references count="1">
          <reference field="1" count="0"/>
        </references>
      </pivotArea>
    </format>
    <format dxfId="216">
      <pivotArea dataOnly="0" labelOnly="1" grandRow="1" outline="0" fieldPosition="0"/>
    </format>
    <format dxfId="215">
      <pivotArea dataOnly="0" labelOnly="1" fieldPosition="0">
        <references count="2">
          <reference field="1" count="1" selected="0">
            <x v="0"/>
          </reference>
          <reference field="6" count="1">
            <x v="1"/>
          </reference>
        </references>
      </pivotArea>
    </format>
    <format dxfId="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D8FD2-9B11-4A53-8940-335BFB7A14E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J3:K9" firstHeaderRow="1" firstDataRow="1" firstDataCol="1"/>
  <pivotFields count="9">
    <pivotField dataField="1" showAll="0"/>
    <pivotField axis="axisRow" showAll="0">
      <items count="6">
        <item sd="0" x="2"/>
        <item sd="0" x="0"/>
        <item sd="0" x="1"/>
        <item sd="0" x="3"/>
        <item sd="0" x="4"/>
        <item t="default"/>
      </items>
    </pivotField>
    <pivotField showAll="0"/>
    <pivotField showAll="0"/>
    <pivotField numFmtId="14" showAll="0"/>
    <pivotField showAll="0">
      <items count="22">
        <item x="10"/>
        <item x="11"/>
        <item x="7"/>
        <item x="14"/>
        <item x="13"/>
        <item x="12"/>
        <item x="6"/>
        <item x="3"/>
        <item x="15"/>
        <item x="19"/>
        <item x="17"/>
        <item x="0"/>
        <item x="16"/>
        <item x="9"/>
        <item x="4"/>
        <item x="1"/>
        <item x="5"/>
        <item x="18"/>
        <item x="8"/>
        <item x="2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formats count="7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dataOnly="0" labelOnly="1" fieldPosition="0">
        <references count="1">
          <reference field="1" count="0"/>
        </references>
      </pivotArea>
    </format>
    <format dxfId="223">
      <pivotArea dataOnly="0" labelOnly="1" grandRow="1" outline="0" fieldPosition="0"/>
    </format>
    <format dxfId="222">
      <pivotArea dataOnly="0" labelOnly="1" fieldPosition="0">
        <references count="2">
          <reference field="1" count="1" selected="0">
            <x v="0"/>
          </reference>
          <reference field="6" count="1">
            <x v="1"/>
          </reference>
        </references>
      </pivotArea>
    </format>
    <format dxfId="2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AD9DC-B188-4190-BF0D-AB784D16E21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J31:K39" firstHeaderRow="1" firstDataRow="1" firstDataCol="1"/>
  <pivotFields count="9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numFmtId="14" showAll="0"/>
    <pivotField showAll="0">
      <items count="22">
        <item x="10"/>
        <item x="11"/>
        <item x="7"/>
        <item x="14"/>
        <item x="13"/>
        <item x="12"/>
        <item x="6"/>
        <item x="3"/>
        <item x="15"/>
        <item x="19"/>
        <item x="17"/>
        <item x="0"/>
        <item x="16"/>
        <item x="9"/>
        <item x="4"/>
        <item x="1"/>
        <item x="5"/>
        <item x="18"/>
        <item x="8"/>
        <item x="20"/>
        <item x="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tus" fld="6" subtotal="count" baseField="0" baseItem="0"/>
  </dataFields>
  <formats count="6"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8" type="button" dataOnly="0" labelOnly="1" outline="0" axis="axisRow" fieldPosition="0"/>
    </format>
    <format dxfId="230">
      <pivotArea dataOnly="0" labelOnly="1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229">
      <pivotArea dataOnly="0" labelOnly="1" grandRow="1" outline="0" fieldPosition="0"/>
    </format>
    <format dxfId="2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71BD-CD57-4190-89D9-705B1FEB352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J22:L28" firstHeaderRow="0" firstDataRow="1" firstDataCol="1"/>
  <pivotFields count="9"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/>
    <pivotField numFmtId="14" showAll="0"/>
    <pivotField showAll="0">
      <items count="22">
        <item x="10"/>
        <item x="11"/>
        <item x="7"/>
        <item x="14"/>
        <item x="13"/>
        <item x="12"/>
        <item x="6"/>
        <item x="3"/>
        <item x="15"/>
        <item x="19"/>
        <item x="17"/>
        <item x="0"/>
        <item x="16"/>
        <item x="9"/>
        <item x="4"/>
        <item x="1"/>
        <item x="5"/>
        <item x="18"/>
        <item x="8"/>
        <item x="20"/>
        <item x="2"/>
        <item t="default"/>
      </items>
    </pivotField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3" subtotal="average" baseField="1" baseItem="0"/>
    <dataField name="Average of Salary" fld="7" subtotal="average" baseField="1" baseItem="0"/>
  </dataFields>
  <formats count="6"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1" type="button" dataOnly="0" labelOnly="1" outline="0" axis="axisRow" fieldPosition="0"/>
    </format>
    <format dxfId="236">
      <pivotArea dataOnly="0" labelOnly="1" fieldPosition="0">
        <references count="1">
          <reference field="1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E2AA7-C208-4F5A-AA12-84CC6E19938C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10:K14" firstHeaderRow="1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4" showAll="0">
      <items count="31">
        <item x="26"/>
        <item x="11"/>
        <item x="29"/>
        <item x="10"/>
        <item x="9"/>
        <item x="16"/>
        <item x="2"/>
        <item x="24"/>
        <item x="17"/>
        <item x="18"/>
        <item x="14"/>
        <item x="12"/>
        <item x="20"/>
        <item x="8"/>
        <item x="22"/>
        <item x="25"/>
        <item x="28"/>
        <item x="13"/>
        <item x="0"/>
        <item x="19"/>
        <item x="1"/>
        <item x="6"/>
        <item x="3"/>
        <item x="7"/>
        <item x="15"/>
        <item x="21"/>
        <item x="27"/>
        <item x="5"/>
        <item x="4"/>
        <item x="23"/>
        <item t="default"/>
      </items>
    </pivotField>
    <pivotField dataField="1" showAll="0"/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osing Stock" fld="7" baseField="0" baseItem="0"/>
  </dataFields>
  <formats count="6"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" type="button" dataOnly="0" labelOnly="1" outline="0" axis="axisRow" fieldPosition="0"/>
    </format>
    <format dxfId="199">
      <pivotArea dataOnly="0" labelOnly="1" fieldPosition="0">
        <references count="1">
          <reference field="1" count="0"/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AD9E1-1A94-43CD-83BB-56E8356EE97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3:L7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numFmtId="14" showAll="0">
      <items count="31">
        <item x="26"/>
        <item x="11"/>
        <item x="29"/>
        <item x="10"/>
        <item x="9"/>
        <item x="16"/>
        <item x="2"/>
        <item x="24"/>
        <item x="17"/>
        <item x="18"/>
        <item x="14"/>
        <item x="12"/>
        <item x="20"/>
        <item x="8"/>
        <item x="22"/>
        <item x="25"/>
        <item x="28"/>
        <item x="13"/>
        <item x="0"/>
        <item x="19"/>
        <item x="1"/>
        <item x="6"/>
        <item x="3"/>
        <item x="7"/>
        <item x="15"/>
        <item x="21"/>
        <item x="27"/>
        <item x="5"/>
        <item x="4"/>
        <item x="23"/>
        <item t="default"/>
      </items>
    </pivotField>
    <pivotField showAll="0"/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Purchased" fld="5" baseField="0" baseItem="0"/>
    <dataField name="Sum of Quantity Sold" fld="4" baseField="0" baseItem="0"/>
  </dataFields>
  <formats count="5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1" type="button" dataOnly="0" labelOnly="1" outline="0" axis="axisRow" fieldPosition="0"/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44A60-823B-4BF5-9A23-10C7BCB3F386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Warehouse">
  <location ref="A34:E39" firstHeaderRow="1" firstDataRow="2" firstDataCol="1"/>
  <pivotFields count="9">
    <pivotField showAll="0"/>
    <pivotField axis="axisRow" showAll="0">
      <items count="4">
        <item sd="0" x="0"/>
        <item sd="0" x="1"/>
        <item sd="0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numFmtId="14" showAll="0">
      <items count="31">
        <item x="26"/>
        <item x="11"/>
        <item x="29"/>
        <item x="10"/>
        <item x="9"/>
        <item x="16"/>
        <item x="2"/>
        <item x="24"/>
        <item x="17"/>
        <item x="18"/>
        <item x="14"/>
        <item x="12"/>
        <item x="20"/>
        <item x="8"/>
        <item x="22"/>
        <item x="25"/>
        <item x="28"/>
        <item x="13"/>
        <item x="0"/>
        <item x="19"/>
        <item x="1"/>
        <item x="6"/>
        <item x="3"/>
        <item x="7"/>
        <item x="15"/>
        <item x="21"/>
        <item x="27"/>
        <item x="5"/>
        <item x="4"/>
        <item x="23"/>
        <item t="default"/>
      </items>
    </pivotField>
    <pivotField showAll="0"/>
    <pivotField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Opening Stock" fld="3" baseField="1" baseItem="1"/>
  </dataFields>
  <formats count="1">
    <format dxfId="0">
      <pivotArea type="all" dataOnly="0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">
              <x v="0"/>
              <x v="1"/>
              <x v="2"/>
            </reference>
            <reference field="2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5D91F-BD47-474B-9003-540805CD0A17}" name="PivotTable9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Weekly trend">
  <location ref="J17:K41" firstHeaderRow="1" firstDataRow="1" firstDataCol="1"/>
  <pivotFields count="9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4" showAll="0">
      <items count="31">
        <item x="26"/>
        <item x="11"/>
        <item x="29"/>
        <item x="10"/>
        <item x="9"/>
        <item x="16"/>
        <item x="2"/>
        <item x="24"/>
        <item x="17"/>
        <item x="18"/>
        <item x="14"/>
        <item x="12"/>
        <item x="20"/>
        <item x="8"/>
        <item x="22"/>
        <item x="25"/>
        <item x="28"/>
        <item x="13"/>
        <item x="0"/>
        <item x="19"/>
        <item x="1"/>
        <item x="6"/>
        <item x="3"/>
        <item x="7"/>
        <item x="15"/>
        <item x="21"/>
        <item x="27"/>
        <item x="5"/>
        <item x="4"/>
        <item x="23"/>
        <item t="default"/>
      </items>
    </pivotField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8"/>
  </rowFields>
  <rowItems count="24">
    <i>
      <x v="1"/>
    </i>
    <i>
      <x v="2"/>
    </i>
    <i>
      <x v="6"/>
    </i>
    <i>
      <x v="7"/>
    </i>
    <i>
      <x v="8"/>
    </i>
    <i>
      <x v="10"/>
    </i>
    <i>
      <x v="13"/>
    </i>
    <i>
      <x v="15"/>
    </i>
    <i>
      <x v="17"/>
    </i>
    <i>
      <x v="23"/>
    </i>
    <i>
      <x v="24"/>
    </i>
    <i>
      <x v="27"/>
    </i>
    <i>
      <x v="31"/>
    </i>
    <i>
      <x v="32"/>
    </i>
    <i>
      <x v="33"/>
    </i>
    <i>
      <x v="37"/>
    </i>
    <i>
      <x v="40"/>
    </i>
    <i>
      <x v="42"/>
    </i>
    <i>
      <x v="45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Product ID" fld="0" subtotal="count" baseField="0" baseItem="0"/>
  </dataFields>
  <formats count="6"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8" type="button" dataOnly="0" labelOnly="1" outline="0" axis="axisRow" fieldPosition="0"/>
    </format>
    <format dxfId="210">
      <pivotArea dataOnly="0" labelOnly="1" fieldPosition="0">
        <references count="1">
          <reference field="8" count="23">
            <x v="1"/>
            <x v="2"/>
            <x v="6"/>
            <x v="7"/>
            <x v="8"/>
            <x v="10"/>
            <x v="13"/>
            <x v="15"/>
            <x v="17"/>
            <x v="23"/>
            <x v="24"/>
            <x v="27"/>
            <x v="31"/>
            <x v="32"/>
            <x v="33"/>
            <x v="37"/>
            <x v="40"/>
            <x v="42"/>
            <x v="45"/>
            <x v="47"/>
            <x v="48"/>
            <x v="49"/>
            <x v="50"/>
          </reference>
        </references>
      </pivotArea>
    </format>
    <format dxfId="209">
      <pivotArea dataOnly="0" labelOnly="1" grandRow="1" outline="0" fieldPosition="0"/>
    </format>
    <format dxfId="2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BD93B-0C4F-4651-B2E2-F3C84B939B27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K14" firstHeaderRow="0" firstDataRow="1" firstDataCol="1"/>
  <pivotFields count="8"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numFmtId="14" showAll="0">
      <items count="30">
        <item x="9"/>
        <item x="12"/>
        <item x="23"/>
        <item x="4"/>
        <item x="5"/>
        <item x="18"/>
        <item x="24"/>
        <item x="21"/>
        <item x="0"/>
        <item x="6"/>
        <item x="1"/>
        <item x="26"/>
        <item x="28"/>
        <item x="2"/>
        <item x="16"/>
        <item x="19"/>
        <item x="11"/>
        <item x="13"/>
        <item x="20"/>
        <item x="8"/>
        <item x="22"/>
        <item x="14"/>
        <item x="10"/>
        <item x="17"/>
        <item x="15"/>
        <item x="25"/>
        <item x="7"/>
        <item x="27"/>
        <item x="3"/>
        <item t="default"/>
      </items>
    </pivotField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" fld="3" baseField="0" baseItem="0"/>
    <dataField name="Sum of Expense Amount" fld="2" baseField="0" baseItem="0"/>
    <dataField name="% Budget Used" fld="6" baseField="1" baseItem="0"/>
  </dataFields>
  <formats count="11">
    <format dxfId="183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180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" type="button" dataOnly="0" labelOnly="1" outline="0" axis="axisRow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35208-5868-4893-8CFD-F3BA296A511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H2:J7" firstHeaderRow="0" firstDataRow="1" firstDataCol="1"/>
  <pivotFields count="8">
    <pivotField axis="axisRow" showAll="0">
      <items count="5">
        <item x="1"/>
        <item x="0"/>
        <item x="3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showAll="0"/>
    <pivotField dataField="1" showAll="0"/>
    <pivotField numFmtId="14" showAll="0">
      <items count="30">
        <item x="9"/>
        <item x="12"/>
        <item x="23"/>
        <item x="4"/>
        <item x="5"/>
        <item x="18"/>
        <item x="24"/>
        <item x="21"/>
        <item x="0"/>
        <item x="6"/>
        <item x="1"/>
        <item x="26"/>
        <item x="28"/>
        <item x="2"/>
        <item x="16"/>
        <item x="19"/>
        <item x="11"/>
        <item x="13"/>
        <item x="20"/>
        <item x="8"/>
        <item x="22"/>
        <item x="14"/>
        <item x="10"/>
        <item x="17"/>
        <item x="15"/>
        <item x="25"/>
        <item x="7"/>
        <item x="27"/>
        <item x="3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ense Amount" fld="2" baseField="0" baseItem="0"/>
    <dataField name="Sum of Budget" fld="3" baseField="0" baseItem="0"/>
  </dataFields>
  <formats count="6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0" type="button" dataOnly="0" labelOnly="1" outline="0" axis="axisRow" fieldPosition="0"/>
    </format>
    <format dxfId="186">
      <pivotArea dataOnly="0" labelOnly="1" fieldPosition="0">
        <references count="1">
          <reference field="0" count="0"/>
        </references>
      </pivotArea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982A5-4F2C-44FB-BEEA-EC6CCE90D230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">
  <location ref="H33:I38" firstHeaderRow="1" firstDataRow="1" firstDataCol="1"/>
  <pivotFields count="8">
    <pivotField showAll="0"/>
    <pivotField showAll="0"/>
    <pivotField dataField="1" showAll="0"/>
    <pivotField showAll="0"/>
    <pivotField numFmtId="14" showAll="0">
      <items count="30">
        <item x="9"/>
        <item x="12"/>
        <item x="23"/>
        <item x="4"/>
        <item x="5"/>
        <item x="18"/>
        <item x="24"/>
        <item x="21"/>
        <item x="0"/>
        <item x="6"/>
        <item x="1"/>
        <item x="26"/>
        <item x="28"/>
        <item x="2"/>
        <item x="16"/>
        <item x="19"/>
        <item x="11"/>
        <item x="13"/>
        <item x="20"/>
        <item x="8"/>
        <item x="22"/>
        <item x="14"/>
        <item x="10"/>
        <item x="17"/>
        <item x="15"/>
        <item x="25"/>
        <item x="7"/>
        <item x="27"/>
        <item x="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pense Amount" fld="2" baseField="0" baseItem="0"/>
  </dataFields>
  <formats count="6"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5" type="button" dataOnly="0" labelOnly="1" outline="0" axis="axisRow" fieldPosition="0"/>
    </format>
    <format dxfId="192">
      <pivotArea dataOnly="0" labelOnly="1" fieldPosition="0">
        <references count="1">
          <reference field="5" count="0"/>
        </references>
      </pivotArea>
    </format>
    <format dxfId="191">
      <pivotArea dataOnly="0" labelOnly="1" grandRow="1" outline="0" fieldPosition="0"/>
    </format>
    <format dxfId="1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31D33-EEFF-448D-BAD0-A3AAE09EE3F0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I29" firstHeaderRow="1" firstDataRow="1" firstDataCol="1"/>
  <pivotFields count="8">
    <pivotField showAll="0"/>
    <pivotField showAll="0">
      <items count="5">
        <item x="0"/>
        <item x="3"/>
        <item x="2"/>
        <item x="1"/>
        <item t="default"/>
      </items>
    </pivotField>
    <pivotField dataField="1" showAll="0"/>
    <pivotField showAll="0"/>
    <pivotField numFmtId="14" showAll="0">
      <items count="30">
        <item x="9"/>
        <item x="12"/>
        <item x="23"/>
        <item x="4"/>
        <item x="5"/>
        <item x="18"/>
        <item x="24"/>
        <item x="21"/>
        <item x="0"/>
        <item x="6"/>
        <item x="1"/>
        <item x="26"/>
        <item x="28"/>
        <item x="2"/>
        <item x="16"/>
        <item x="19"/>
        <item x="11"/>
        <item x="13"/>
        <item x="20"/>
        <item x="8"/>
        <item x="22"/>
        <item x="14"/>
        <item x="10"/>
        <item x="17"/>
        <item x="15"/>
        <item x="25"/>
        <item x="7"/>
        <item x="27"/>
        <item x="3"/>
        <item t="default"/>
      </items>
    </pivotField>
    <pivotField showAll="0"/>
    <pivotField dragToRow="0" dragToCol="0" dragToPage="0" showAll="0" defaultSubtota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Expense Amount" fld="2" baseField="0" baseItem="0"/>
  </dataFields>
  <formats count="1">
    <format dxfId="19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FA4C5-D9B9-42F7-9387-1785792EE67C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Customer                                                                                                                                                    ">
  <location ref="G36:H41" firstHeaderRow="1" firstDataRow="1" firstDataCol="1" rowPageCount="1" colPageCount="1"/>
  <pivotFields count="10">
    <pivotField dataField="1" showAll="0"/>
    <pivotField axis="axisRow" showAll="0">
      <items count="6">
        <item x="0"/>
        <item x="4"/>
        <item x="2"/>
        <item x="3"/>
        <item x="1"/>
        <item t="default"/>
      </items>
    </pivotField>
    <pivotField numFmtId="14" showAll="0">
      <items count="31">
        <item x="17"/>
        <item x="2"/>
        <item x="27"/>
        <item x="15"/>
        <item x="21"/>
        <item x="0"/>
        <item x="24"/>
        <item x="1"/>
        <item x="10"/>
        <item x="23"/>
        <item x="26"/>
        <item x="20"/>
        <item x="6"/>
        <item x="8"/>
        <item x="12"/>
        <item x="16"/>
        <item x="22"/>
        <item x="7"/>
        <item x="13"/>
        <item x="18"/>
        <item x="9"/>
        <item x="3"/>
        <item x="11"/>
        <item x="25"/>
        <item x="14"/>
        <item x="4"/>
        <item x="28"/>
        <item x="5"/>
        <item x="29"/>
        <item x="19"/>
        <item t="default"/>
      </items>
    </pivotField>
    <pivotField numFmtId="14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item="0" hier="-1"/>
  </pageFields>
  <dataFields count="1">
    <dataField name="Count of Order ID" fld="0" subtotal="count" baseField="0" baseItem="0"/>
  </dataFields>
  <formats count="6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4">
            <x v="1"/>
            <x v="2"/>
            <x v="3"/>
            <x v="4"/>
          </reference>
        </references>
      </pivotArea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1B62B-B990-4315-9CEF-7AC71B25C466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4:B39" firstHeaderRow="1" firstDataRow="1" firstDataCol="1"/>
  <pivotFields count="10">
    <pivotField showAll="0"/>
    <pivotField showAll="0"/>
    <pivotField numFmtId="14" showAll="0">
      <items count="31">
        <item x="17"/>
        <item x="2"/>
        <item x="27"/>
        <item x="15"/>
        <item x="21"/>
        <item x="0"/>
        <item x="24"/>
        <item x="1"/>
        <item x="10"/>
        <item x="23"/>
        <item x="26"/>
        <item x="20"/>
        <item x="6"/>
        <item x="8"/>
        <item x="12"/>
        <item x="16"/>
        <item x="22"/>
        <item x="7"/>
        <item x="13"/>
        <item x="18"/>
        <item x="9"/>
        <item x="3"/>
        <item x="11"/>
        <item x="25"/>
        <item x="14"/>
        <item x="4"/>
        <item x="28"/>
        <item x="5"/>
        <item x="29"/>
        <item x="19"/>
        <item t="default"/>
      </items>
    </pivotField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 Duration (Days)" fld="7" subtotal="average" baseField="4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4" type="button" dataOnly="0" labelOnly="1" outline="0" axis="axisRow" fieldPosition="0"/>
    </format>
    <format dxfId="82">
      <pivotArea dataOnly="0" labelOnly="1" fieldPosition="0">
        <references count="1">
          <reference field="4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81971-2D62-4060-85ED-DF71926EB318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">
  <location ref="J11:L23" firstHeaderRow="0" firstDataRow="1" firstDataCol="1"/>
  <pivotFields count="10">
    <pivotField dataField="1" showAll="0"/>
    <pivotField showAll="0"/>
    <pivotField numFmtId="14" showAll="0">
      <items count="31">
        <item x="17"/>
        <item x="2"/>
        <item x="27"/>
        <item x="15"/>
        <item x="21"/>
        <item x="0"/>
        <item x="24"/>
        <item x="1"/>
        <item x="10"/>
        <item x="23"/>
        <item x="26"/>
        <item x="20"/>
        <item x="6"/>
        <item x="8"/>
        <item x="12"/>
        <item x="16"/>
        <item x="22"/>
        <item x="7"/>
        <item x="13"/>
        <item x="18"/>
        <item x="9"/>
        <item x="3"/>
        <item x="11"/>
        <item x="25"/>
        <item x="14"/>
        <item x="4"/>
        <item x="28"/>
        <item x="5"/>
        <item x="29"/>
        <item x="19"/>
        <item t="default"/>
      </items>
    </pivotField>
    <pivotField numFmtId="14" showAll="0"/>
    <pivotField showAll="0"/>
    <pivotField dataField="1"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65" showAll="0">
      <items count="4">
        <item x="0"/>
        <item x="1"/>
        <item x="2"/>
        <item t="default"/>
      </items>
    </pivotField>
  </pivotFields>
  <rowFields count="2">
    <field x="9"/>
    <field x="8"/>
  </rowFields>
  <rowItems count="12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Order Value" fld="5" baseField="0" baseItem="0"/>
  </dataFields>
  <formats count="4"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EF971-3204-4CDD-9B5F-5E63AA19ED1E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 colHeaderCaption="Delivery Status">
  <location ref="J2:M9" firstHeaderRow="1" firstDataRow="2" firstDataCol="1"/>
  <pivotFields count="10">
    <pivotField dataField="1" showAll="0"/>
    <pivotField axis="axisRow" showAll="0">
      <items count="6">
        <item x="0"/>
        <item x="4"/>
        <item x="2"/>
        <item x="3"/>
        <item x="1"/>
        <item t="default"/>
      </items>
    </pivotField>
    <pivotField numFmtId="14" showAll="0">
      <items count="31">
        <item x="17"/>
        <item x="2"/>
        <item x="27"/>
        <item x="15"/>
        <item x="21"/>
        <item x="0"/>
        <item x="24"/>
        <item x="1"/>
        <item x="10"/>
        <item x="23"/>
        <item x="26"/>
        <item x="20"/>
        <item x="6"/>
        <item x="8"/>
        <item x="12"/>
        <item x="16"/>
        <item x="22"/>
        <item x="7"/>
        <item x="13"/>
        <item x="18"/>
        <item x="9"/>
        <item x="3"/>
        <item x="11"/>
        <item x="25"/>
        <item x="14"/>
        <item x="4"/>
        <item x="28"/>
        <item x="5"/>
        <item x="29"/>
        <item x="19"/>
        <item t="default"/>
      </items>
    </pivotField>
    <pivotField numFmtId="1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Order ID" fld="0" subtotal="count" baseField="0" baseItem="0"/>
  </dataFields>
  <formats count="10"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6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1">
          <reference field="6" count="0"/>
        </references>
      </pivotArea>
    </format>
    <format dxfId="16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11" bestFit="1" customWidth="1"/>
    <col min="4" max="4" width="8.6640625" bestFit="1" customWidth="1"/>
    <col min="5" max="5" width="9.44140625" bestFit="1" customWidth="1"/>
    <col min="6" max="6" width="9.109375" bestFit="1" customWidth="1"/>
    <col min="7" max="7" width="8.33203125" bestFit="1" customWidth="1"/>
    <col min="8" max="8" width="7" bestFit="1" customWidth="1"/>
    <col min="10" max="10" width="10.77734375" bestFit="1" customWidth="1"/>
    <col min="11" max="11" width="16" bestFit="1" customWidth="1"/>
    <col min="12" max="12" width="12.109375" bestFit="1" customWidth="1"/>
    <col min="13" max="13" width="13.21875" bestFit="1" customWidth="1"/>
    <col min="14" max="14" width="14.88671875" bestFit="1" customWidth="1"/>
    <col min="15" max="15" width="12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45019</v>
      </c>
      <c r="B2" t="s">
        <v>8</v>
      </c>
      <c r="C2" t="s">
        <v>9</v>
      </c>
      <c r="D2" t="s">
        <v>10</v>
      </c>
      <c r="E2">
        <v>12</v>
      </c>
      <c r="F2">
        <v>809</v>
      </c>
      <c r="G2">
        <v>9708</v>
      </c>
      <c r="H2">
        <v>1941.6</v>
      </c>
    </row>
    <row r="3" spans="1:12" x14ac:dyDescent="0.3">
      <c r="A3" s="2">
        <v>45109</v>
      </c>
      <c r="B3" t="s">
        <v>8</v>
      </c>
      <c r="C3" t="s">
        <v>11</v>
      </c>
      <c r="D3" t="s">
        <v>10</v>
      </c>
      <c r="E3">
        <v>10</v>
      </c>
      <c r="F3">
        <v>418</v>
      </c>
      <c r="G3">
        <v>4180</v>
      </c>
      <c r="H3">
        <v>836</v>
      </c>
      <c r="J3" s="3" t="s">
        <v>1</v>
      </c>
      <c r="K3" s="4" t="s">
        <v>175</v>
      </c>
    </row>
    <row r="4" spans="1:12" x14ac:dyDescent="0.3">
      <c r="A4" s="2">
        <v>45267</v>
      </c>
      <c r="B4" t="s">
        <v>12</v>
      </c>
      <c r="C4" t="s">
        <v>13</v>
      </c>
      <c r="D4" t="s">
        <v>14</v>
      </c>
      <c r="E4">
        <v>12</v>
      </c>
      <c r="F4">
        <v>528</v>
      </c>
      <c r="G4">
        <v>6336</v>
      </c>
      <c r="H4">
        <v>1267.2</v>
      </c>
      <c r="J4" s="5" t="s">
        <v>19</v>
      </c>
      <c r="K4" s="4">
        <v>45230</v>
      </c>
    </row>
    <row r="5" spans="1:12" x14ac:dyDescent="0.3">
      <c r="A5" s="2">
        <v>44998</v>
      </c>
      <c r="B5" t="s">
        <v>15</v>
      </c>
      <c r="C5" t="s">
        <v>16</v>
      </c>
      <c r="D5" t="s">
        <v>17</v>
      </c>
      <c r="E5">
        <v>10</v>
      </c>
      <c r="F5">
        <v>761</v>
      </c>
      <c r="G5">
        <v>7610</v>
      </c>
      <c r="H5">
        <v>1522</v>
      </c>
      <c r="J5" s="5" t="s">
        <v>15</v>
      </c>
      <c r="K5" s="4">
        <v>55780</v>
      </c>
    </row>
    <row r="6" spans="1:12" x14ac:dyDescent="0.3">
      <c r="A6" s="2">
        <v>45149</v>
      </c>
      <c r="B6" t="s">
        <v>12</v>
      </c>
      <c r="C6" t="s">
        <v>13</v>
      </c>
      <c r="D6" t="s">
        <v>14</v>
      </c>
      <c r="E6">
        <v>20</v>
      </c>
      <c r="F6">
        <v>216</v>
      </c>
      <c r="G6">
        <v>4320</v>
      </c>
      <c r="H6">
        <v>864</v>
      </c>
      <c r="J6" s="5" t="s">
        <v>12</v>
      </c>
      <c r="K6" s="4">
        <v>90109</v>
      </c>
    </row>
    <row r="7" spans="1:12" x14ac:dyDescent="0.3">
      <c r="A7" s="2">
        <v>45249</v>
      </c>
      <c r="B7" t="s">
        <v>12</v>
      </c>
      <c r="C7" t="s">
        <v>13</v>
      </c>
      <c r="D7" t="s">
        <v>18</v>
      </c>
      <c r="E7">
        <v>20</v>
      </c>
      <c r="F7">
        <v>975</v>
      </c>
      <c r="G7">
        <v>19500</v>
      </c>
      <c r="H7">
        <v>3900</v>
      </c>
      <c r="J7" s="5" t="s">
        <v>8</v>
      </c>
      <c r="K7" s="4">
        <v>30719</v>
      </c>
    </row>
    <row r="8" spans="1:12" x14ac:dyDescent="0.3">
      <c r="A8" s="2">
        <v>45024</v>
      </c>
      <c r="B8" t="s">
        <v>15</v>
      </c>
      <c r="C8" t="s">
        <v>11</v>
      </c>
      <c r="D8" t="s">
        <v>10</v>
      </c>
      <c r="E8">
        <v>14</v>
      </c>
      <c r="F8">
        <v>779</v>
      </c>
      <c r="G8">
        <v>10906</v>
      </c>
      <c r="H8">
        <v>2181.1999999999998</v>
      </c>
      <c r="J8" s="5" t="s">
        <v>177</v>
      </c>
      <c r="K8" s="4">
        <v>221838</v>
      </c>
    </row>
    <row r="9" spans="1:12" x14ac:dyDescent="0.3">
      <c r="A9" s="2">
        <v>45019</v>
      </c>
      <c r="B9" t="s">
        <v>8</v>
      </c>
      <c r="C9" t="s">
        <v>9</v>
      </c>
      <c r="D9" t="s">
        <v>14</v>
      </c>
      <c r="E9">
        <v>17</v>
      </c>
      <c r="F9">
        <v>637</v>
      </c>
      <c r="G9">
        <v>10829</v>
      </c>
      <c r="H9">
        <v>2165.8000000000002</v>
      </c>
    </row>
    <row r="10" spans="1:12" x14ac:dyDescent="0.3">
      <c r="A10" s="2">
        <v>45008</v>
      </c>
      <c r="B10" t="s">
        <v>15</v>
      </c>
      <c r="C10" t="s">
        <v>13</v>
      </c>
      <c r="D10" t="s">
        <v>18</v>
      </c>
      <c r="E10">
        <v>19</v>
      </c>
      <c r="F10">
        <v>877</v>
      </c>
      <c r="G10">
        <v>16663</v>
      </c>
      <c r="H10">
        <v>3332.6</v>
      </c>
    </row>
    <row r="11" spans="1:12" x14ac:dyDescent="0.3">
      <c r="A11" s="2">
        <v>45139</v>
      </c>
      <c r="B11" t="s">
        <v>19</v>
      </c>
      <c r="C11" t="s">
        <v>11</v>
      </c>
      <c r="D11" t="s">
        <v>10</v>
      </c>
      <c r="E11">
        <v>6</v>
      </c>
      <c r="F11">
        <v>579</v>
      </c>
      <c r="G11">
        <v>3474</v>
      </c>
      <c r="H11">
        <v>694.80000000000007</v>
      </c>
      <c r="J11" s="3" t="s">
        <v>2</v>
      </c>
      <c r="K11" s="4" t="s">
        <v>175</v>
      </c>
      <c r="L11" s="4" t="s">
        <v>178</v>
      </c>
    </row>
    <row r="12" spans="1:12" x14ac:dyDescent="0.3">
      <c r="A12" s="2">
        <v>45106</v>
      </c>
      <c r="B12" t="s">
        <v>15</v>
      </c>
      <c r="C12" t="s">
        <v>16</v>
      </c>
      <c r="D12" t="s">
        <v>18</v>
      </c>
      <c r="E12">
        <v>4</v>
      </c>
      <c r="F12">
        <v>945</v>
      </c>
      <c r="G12">
        <v>3780</v>
      </c>
      <c r="H12">
        <v>756</v>
      </c>
      <c r="J12" s="5" t="s">
        <v>11</v>
      </c>
      <c r="K12" s="4">
        <v>32796</v>
      </c>
      <c r="L12" s="4">
        <v>6559.2000000000007</v>
      </c>
    </row>
    <row r="13" spans="1:12" x14ac:dyDescent="0.3">
      <c r="A13" s="2">
        <v>44969</v>
      </c>
      <c r="B13" t="s">
        <v>8</v>
      </c>
      <c r="C13" t="s">
        <v>11</v>
      </c>
      <c r="D13" t="s">
        <v>18</v>
      </c>
      <c r="E13">
        <v>7</v>
      </c>
      <c r="F13">
        <v>312</v>
      </c>
      <c r="G13">
        <v>2184</v>
      </c>
      <c r="H13">
        <v>436.8</v>
      </c>
      <c r="J13" s="5" t="s">
        <v>9</v>
      </c>
      <c r="K13" s="4">
        <v>57952</v>
      </c>
      <c r="L13" s="4">
        <v>11590.4</v>
      </c>
    </row>
    <row r="14" spans="1:12" x14ac:dyDescent="0.3">
      <c r="A14" s="2">
        <v>45155</v>
      </c>
      <c r="B14" t="s">
        <v>19</v>
      </c>
      <c r="C14" t="s">
        <v>20</v>
      </c>
      <c r="D14" t="s">
        <v>14</v>
      </c>
      <c r="E14">
        <v>20</v>
      </c>
      <c r="F14">
        <v>541</v>
      </c>
      <c r="G14">
        <v>10820</v>
      </c>
      <c r="H14">
        <v>2164</v>
      </c>
      <c r="J14" s="5" t="s">
        <v>20</v>
      </c>
      <c r="K14" s="4">
        <v>11790</v>
      </c>
      <c r="L14" s="4">
        <v>2358</v>
      </c>
    </row>
    <row r="15" spans="1:12" x14ac:dyDescent="0.3">
      <c r="A15" s="2">
        <v>45116</v>
      </c>
      <c r="B15" t="s">
        <v>19</v>
      </c>
      <c r="C15" t="s">
        <v>9</v>
      </c>
      <c r="D15" t="s">
        <v>21</v>
      </c>
      <c r="E15">
        <v>20</v>
      </c>
      <c r="F15">
        <v>566</v>
      </c>
      <c r="G15">
        <v>11320</v>
      </c>
      <c r="H15">
        <v>2264</v>
      </c>
      <c r="J15" s="5" t="s">
        <v>16</v>
      </c>
      <c r="K15" s="4">
        <v>15208</v>
      </c>
      <c r="L15" s="4">
        <v>3041.6</v>
      </c>
    </row>
    <row r="16" spans="1:12" x14ac:dyDescent="0.3">
      <c r="A16" s="2">
        <v>44954</v>
      </c>
      <c r="B16" t="s">
        <v>15</v>
      </c>
      <c r="C16" t="s">
        <v>9</v>
      </c>
      <c r="D16" t="s">
        <v>21</v>
      </c>
      <c r="E16">
        <v>1</v>
      </c>
      <c r="F16">
        <v>995</v>
      </c>
      <c r="G16">
        <v>995</v>
      </c>
      <c r="H16">
        <v>199</v>
      </c>
      <c r="J16" s="5" t="s">
        <v>13</v>
      </c>
      <c r="K16" s="4">
        <v>104092</v>
      </c>
      <c r="L16" s="4">
        <v>20818.400000000001</v>
      </c>
    </row>
    <row r="17" spans="1:12" x14ac:dyDescent="0.3">
      <c r="A17" s="2">
        <v>44972</v>
      </c>
      <c r="B17" t="s">
        <v>12</v>
      </c>
      <c r="C17" t="s">
        <v>9</v>
      </c>
      <c r="D17" t="s">
        <v>21</v>
      </c>
      <c r="E17">
        <v>20</v>
      </c>
      <c r="F17">
        <v>877</v>
      </c>
      <c r="G17">
        <v>17540</v>
      </c>
      <c r="H17">
        <v>3508</v>
      </c>
      <c r="J17" s="5" t="s">
        <v>177</v>
      </c>
      <c r="K17" s="4">
        <v>221838</v>
      </c>
      <c r="L17" s="4">
        <v>44367.6</v>
      </c>
    </row>
    <row r="18" spans="1:12" x14ac:dyDescent="0.3">
      <c r="A18" s="2">
        <v>45049</v>
      </c>
      <c r="B18" t="s">
        <v>15</v>
      </c>
      <c r="C18" t="s">
        <v>11</v>
      </c>
      <c r="D18" t="s">
        <v>10</v>
      </c>
      <c r="E18">
        <v>4</v>
      </c>
      <c r="F18">
        <v>545</v>
      </c>
      <c r="G18">
        <v>2180</v>
      </c>
      <c r="H18">
        <v>436</v>
      </c>
    </row>
    <row r="19" spans="1:12" x14ac:dyDescent="0.3">
      <c r="A19" s="2">
        <v>45116</v>
      </c>
      <c r="B19" t="s">
        <v>19</v>
      </c>
      <c r="C19" t="s">
        <v>20</v>
      </c>
      <c r="D19" t="s">
        <v>18</v>
      </c>
      <c r="E19">
        <v>1</v>
      </c>
      <c r="F19">
        <v>970</v>
      </c>
      <c r="G19">
        <v>970</v>
      </c>
      <c r="H19">
        <v>194</v>
      </c>
    </row>
    <row r="20" spans="1:12" x14ac:dyDescent="0.3">
      <c r="A20" s="2">
        <v>45202</v>
      </c>
      <c r="B20" t="s">
        <v>8</v>
      </c>
      <c r="C20" t="s">
        <v>16</v>
      </c>
      <c r="D20" t="s">
        <v>17</v>
      </c>
      <c r="E20">
        <v>10</v>
      </c>
      <c r="F20">
        <v>267</v>
      </c>
      <c r="G20">
        <v>2670</v>
      </c>
      <c r="H20">
        <v>534</v>
      </c>
      <c r="J20" s="3" t="s">
        <v>192</v>
      </c>
      <c r="K20" s="4" t="s">
        <v>179</v>
      </c>
    </row>
    <row r="21" spans="1:12" x14ac:dyDescent="0.3">
      <c r="A21" s="2">
        <v>45170</v>
      </c>
      <c r="B21" t="s">
        <v>15</v>
      </c>
      <c r="C21" t="s">
        <v>13</v>
      </c>
      <c r="D21" t="s">
        <v>21</v>
      </c>
      <c r="E21">
        <v>17</v>
      </c>
      <c r="F21">
        <v>318</v>
      </c>
      <c r="G21">
        <v>5406</v>
      </c>
      <c r="H21">
        <v>1081.2</v>
      </c>
      <c r="J21" s="5" t="s">
        <v>180</v>
      </c>
      <c r="K21" s="4">
        <v>14</v>
      </c>
    </row>
    <row r="22" spans="1:12" x14ac:dyDescent="0.3">
      <c r="A22" s="2">
        <v>45017</v>
      </c>
      <c r="B22" t="s">
        <v>8</v>
      </c>
      <c r="C22" t="s">
        <v>16</v>
      </c>
      <c r="D22" t="s">
        <v>10</v>
      </c>
      <c r="E22">
        <v>7</v>
      </c>
      <c r="F22">
        <v>164</v>
      </c>
      <c r="G22">
        <v>1148</v>
      </c>
      <c r="H22">
        <v>229.6</v>
      </c>
      <c r="J22" s="5" t="s">
        <v>181</v>
      </c>
      <c r="K22" s="4">
        <v>46</v>
      </c>
    </row>
    <row r="23" spans="1:12" x14ac:dyDescent="0.3">
      <c r="A23" s="2">
        <v>45177</v>
      </c>
      <c r="B23" t="s">
        <v>12</v>
      </c>
      <c r="C23" t="s">
        <v>11</v>
      </c>
      <c r="D23" t="s">
        <v>21</v>
      </c>
      <c r="E23">
        <v>16</v>
      </c>
      <c r="F23">
        <v>617</v>
      </c>
      <c r="G23">
        <v>9872</v>
      </c>
      <c r="H23">
        <v>1974.4</v>
      </c>
      <c r="J23" s="5" t="s">
        <v>182</v>
      </c>
      <c r="K23" s="4">
        <v>29</v>
      </c>
    </row>
    <row r="24" spans="1:12" x14ac:dyDescent="0.3">
      <c r="A24" s="2">
        <v>45046</v>
      </c>
      <c r="B24" t="s">
        <v>12</v>
      </c>
      <c r="C24" t="s">
        <v>13</v>
      </c>
      <c r="D24" t="s">
        <v>10</v>
      </c>
      <c r="E24">
        <v>13</v>
      </c>
      <c r="F24">
        <v>281</v>
      </c>
      <c r="G24">
        <v>3653</v>
      </c>
      <c r="H24">
        <v>730.6</v>
      </c>
      <c r="J24" s="5" t="s">
        <v>183</v>
      </c>
      <c r="K24" s="4">
        <v>63</v>
      </c>
    </row>
    <row r="25" spans="1:12" x14ac:dyDescent="0.3">
      <c r="A25" s="2">
        <v>44952</v>
      </c>
      <c r="B25" t="s">
        <v>12</v>
      </c>
      <c r="C25" t="s">
        <v>13</v>
      </c>
      <c r="D25" t="s">
        <v>21</v>
      </c>
      <c r="E25">
        <v>13</v>
      </c>
      <c r="F25">
        <v>895</v>
      </c>
      <c r="G25">
        <v>11635</v>
      </c>
      <c r="H25">
        <v>2327</v>
      </c>
      <c r="J25" s="5" t="s">
        <v>184</v>
      </c>
      <c r="K25" s="4">
        <v>4</v>
      </c>
    </row>
    <row r="26" spans="1:12" x14ac:dyDescent="0.3">
      <c r="A26" s="2">
        <v>44963</v>
      </c>
      <c r="B26" t="s">
        <v>19</v>
      </c>
      <c r="C26" t="s">
        <v>13</v>
      </c>
      <c r="D26" t="s">
        <v>10</v>
      </c>
      <c r="E26">
        <v>10</v>
      </c>
      <c r="F26">
        <v>457</v>
      </c>
      <c r="G26">
        <v>4570</v>
      </c>
      <c r="H26">
        <v>914</v>
      </c>
      <c r="J26" s="5" t="s">
        <v>185</v>
      </c>
      <c r="K26" s="4">
        <v>4</v>
      </c>
    </row>
    <row r="27" spans="1:12" x14ac:dyDescent="0.3">
      <c r="A27" s="2">
        <v>45178</v>
      </c>
      <c r="B27" t="s">
        <v>12</v>
      </c>
      <c r="C27" t="s">
        <v>9</v>
      </c>
      <c r="D27" t="s">
        <v>17</v>
      </c>
      <c r="E27">
        <v>8</v>
      </c>
      <c r="F27">
        <v>945</v>
      </c>
      <c r="G27">
        <v>7560</v>
      </c>
      <c r="H27">
        <v>1512</v>
      </c>
      <c r="J27" s="5" t="s">
        <v>186</v>
      </c>
      <c r="K27" s="4">
        <v>31</v>
      </c>
    </row>
    <row r="28" spans="1:12" x14ac:dyDescent="0.3">
      <c r="A28" s="2">
        <v>44970</v>
      </c>
      <c r="B28" t="s">
        <v>12</v>
      </c>
      <c r="C28" t="s">
        <v>13</v>
      </c>
      <c r="D28" t="s">
        <v>18</v>
      </c>
      <c r="E28">
        <v>9</v>
      </c>
      <c r="F28">
        <v>873</v>
      </c>
      <c r="G28">
        <v>7857</v>
      </c>
      <c r="H28">
        <v>1571.4</v>
      </c>
      <c r="J28" s="5" t="s">
        <v>187</v>
      </c>
      <c r="K28" s="4">
        <v>46</v>
      </c>
    </row>
    <row r="29" spans="1:12" x14ac:dyDescent="0.3">
      <c r="A29" s="2">
        <v>45282</v>
      </c>
      <c r="B29" t="s">
        <v>19</v>
      </c>
      <c r="C29" t="s">
        <v>13</v>
      </c>
      <c r="D29" t="s">
        <v>10</v>
      </c>
      <c r="E29">
        <v>17</v>
      </c>
      <c r="F29">
        <v>828</v>
      </c>
      <c r="G29">
        <v>14076</v>
      </c>
      <c r="H29">
        <v>2815.2</v>
      </c>
      <c r="J29" s="5" t="s">
        <v>188</v>
      </c>
      <c r="K29" s="4">
        <v>43</v>
      </c>
    </row>
    <row r="30" spans="1:12" x14ac:dyDescent="0.3">
      <c r="A30" s="2">
        <v>45247</v>
      </c>
      <c r="B30" t="s">
        <v>15</v>
      </c>
      <c r="C30" t="s">
        <v>13</v>
      </c>
      <c r="D30" t="s">
        <v>18</v>
      </c>
      <c r="E30">
        <v>16</v>
      </c>
      <c r="F30">
        <v>515</v>
      </c>
      <c r="G30">
        <v>8240</v>
      </c>
      <c r="H30">
        <v>1648</v>
      </c>
      <c r="J30" s="5" t="s">
        <v>189</v>
      </c>
      <c r="K30" s="4">
        <v>10</v>
      </c>
    </row>
    <row r="31" spans="1:12" x14ac:dyDescent="0.3">
      <c r="A31" s="2">
        <v>45177</v>
      </c>
      <c r="B31" t="s">
        <v>12</v>
      </c>
      <c r="C31" t="s">
        <v>13</v>
      </c>
      <c r="D31" t="s">
        <v>14</v>
      </c>
      <c r="E31">
        <v>2</v>
      </c>
      <c r="F31">
        <v>918</v>
      </c>
      <c r="G31">
        <v>1836</v>
      </c>
      <c r="H31">
        <v>367.2</v>
      </c>
      <c r="J31" s="5" t="s">
        <v>190</v>
      </c>
      <c r="K31" s="4">
        <v>36</v>
      </c>
    </row>
    <row r="32" spans="1:12" x14ac:dyDescent="0.3">
      <c r="J32" s="5" t="s">
        <v>191</v>
      </c>
      <c r="K32" s="4">
        <v>29</v>
      </c>
    </row>
    <row r="33" spans="1:11" x14ac:dyDescent="0.3">
      <c r="J33" s="5" t="s">
        <v>177</v>
      </c>
      <c r="K33" s="4">
        <v>355</v>
      </c>
    </row>
    <row r="34" spans="1:11" x14ac:dyDescent="0.3">
      <c r="A34" s="3" t="s">
        <v>3</v>
      </c>
      <c r="B34" s="4" t="s">
        <v>175</v>
      </c>
    </row>
    <row r="35" spans="1:11" x14ac:dyDescent="0.3">
      <c r="A35" s="5" t="s">
        <v>18</v>
      </c>
      <c r="B35" s="7">
        <v>59194</v>
      </c>
    </row>
    <row r="36" spans="1:11" x14ac:dyDescent="0.3">
      <c r="A36" s="5" t="s">
        <v>21</v>
      </c>
      <c r="B36" s="7">
        <v>56768</v>
      </c>
    </row>
    <row r="37" spans="1:11" x14ac:dyDescent="0.3">
      <c r="A37" s="5" t="s">
        <v>10</v>
      </c>
      <c r="B37" s="7">
        <v>53895</v>
      </c>
    </row>
    <row r="38" spans="1:11" x14ac:dyDescent="0.3">
      <c r="A38" s="5" t="s">
        <v>14</v>
      </c>
      <c r="B38" s="7">
        <v>34141</v>
      </c>
    </row>
    <row r="39" spans="1:11" x14ac:dyDescent="0.3">
      <c r="A39" s="5" t="s">
        <v>17</v>
      </c>
      <c r="B39" s="7">
        <v>17840</v>
      </c>
    </row>
    <row r="40" spans="1:11" x14ac:dyDescent="0.3">
      <c r="A40" s="12" t="s">
        <v>177</v>
      </c>
      <c r="B40" s="11">
        <v>221838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workbookViewId="0">
      <selection activeCell="B2" sqref="B2"/>
    </sheetView>
  </sheetViews>
  <sheetFormatPr defaultRowHeight="14.4" x14ac:dyDescent="0.3"/>
  <cols>
    <col min="1" max="1" width="11.5546875" bestFit="1" customWidth="1"/>
    <col min="2" max="2" width="11.109375" bestFit="1" customWidth="1"/>
    <col min="3" max="3" width="7.109375" bestFit="1" customWidth="1"/>
    <col min="4" max="4" width="4.21875" bestFit="1" customWidth="1"/>
    <col min="5" max="6" width="18.109375" bestFit="1" customWidth="1"/>
    <col min="7" max="7" width="8.21875" bestFit="1" customWidth="1"/>
    <col min="8" max="8" width="7" bestFit="1" customWidth="1"/>
    <col min="10" max="10" width="13.33203125" bestFit="1" customWidth="1"/>
    <col min="11" max="11" width="13.88671875" bestFit="1" customWidth="1"/>
    <col min="12" max="12" width="15.77734375" bestFit="1" customWidth="1"/>
    <col min="13" max="13" width="10.77734375" bestFit="1" customWidth="1"/>
  </cols>
  <sheetData>
    <row r="1" spans="1:13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13" x14ac:dyDescent="0.3">
      <c r="A2" t="s">
        <v>30</v>
      </c>
      <c r="B2" t="s">
        <v>31</v>
      </c>
      <c r="C2" t="s">
        <v>32</v>
      </c>
      <c r="D2">
        <v>48</v>
      </c>
      <c r="E2" s="2">
        <v>44956</v>
      </c>
      <c r="F2" s="2">
        <v>45442</v>
      </c>
      <c r="G2" t="s">
        <v>33</v>
      </c>
      <c r="H2">
        <v>57360</v>
      </c>
    </row>
    <row r="3" spans="1:13" x14ac:dyDescent="0.3">
      <c r="A3" t="s">
        <v>34</v>
      </c>
      <c r="B3" t="s">
        <v>35</v>
      </c>
      <c r="C3" t="s">
        <v>32</v>
      </c>
      <c r="D3">
        <v>44</v>
      </c>
      <c r="E3" s="2">
        <v>44961</v>
      </c>
      <c r="F3" s="2">
        <v>45625</v>
      </c>
      <c r="G3" t="s">
        <v>33</v>
      </c>
      <c r="H3">
        <v>39014</v>
      </c>
      <c r="J3" s="3" t="s">
        <v>23</v>
      </c>
      <c r="K3" s="4" t="s">
        <v>194</v>
      </c>
    </row>
    <row r="4" spans="1:13" x14ac:dyDescent="0.3">
      <c r="A4" t="s">
        <v>36</v>
      </c>
      <c r="B4" t="s">
        <v>35</v>
      </c>
      <c r="C4" t="s">
        <v>37</v>
      </c>
      <c r="D4">
        <v>44</v>
      </c>
      <c r="E4" s="2">
        <v>44534</v>
      </c>
      <c r="F4" s="2"/>
      <c r="G4" t="s">
        <v>38</v>
      </c>
      <c r="H4">
        <v>30083</v>
      </c>
      <c r="J4" s="5" t="s">
        <v>43</v>
      </c>
      <c r="K4" s="4">
        <v>8</v>
      </c>
    </row>
    <row r="5" spans="1:13" x14ac:dyDescent="0.3">
      <c r="A5" t="s">
        <v>39</v>
      </c>
      <c r="B5" t="s">
        <v>31</v>
      </c>
      <c r="C5" t="s">
        <v>37</v>
      </c>
      <c r="D5">
        <v>23</v>
      </c>
      <c r="E5" s="2">
        <v>44320</v>
      </c>
      <c r="F5" s="2">
        <v>45176</v>
      </c>
      <c r="G5" t="s">
        <v>33</v>
      </c>
      <c r="H5">
        <v>71032</v>
      </c>
      <c r="J5" s="5" t="s">
        <v>31</v>
      </c>
      <c r="K5" s="4">
        <v>4</v>
      </c>
    </row>
    <row r="6" spans="1:13" x14ac:dyDescent="0.3">
      <c r="A6" t="s">
        <v>40</v>
      </c>
      <c r="B6" t="s">
        <v>35</v>
      </c>
      <c r="C6" t="s">
        <v>32</v>
      </c>
      <c r="D6">
        <v>48</v>
      </c>
      <c r="E6" s="2">
        <v>44648</v>
      </c>
      <c r="F6" s="2"/>
      <c r="G6" t="s">
        <v>38</v>
      </c>
      <c r="H6">
        <v>46427</v>
      </c>
      <c r="J6" s="5" t="s">
        <v>35</v>
      </c>
      <c r="K6" s="4">
        <v>7</v>
      </c>
    </row>
    <row r="7" spans="1:13" x14ac:dyDescent="0.3">
      <c r="A7" t="s">
        <v>41</v>
      </c>
      <c r="B7" t="s">
        <v>35</v>
      </c>
      <c r="C7" t="s">
        <v>32</v>
      </c>
      <c r="D7">
        <v>36</v>
      </c>
      <c r="E7" s="2">
        <v>45000</v>
      </c>
      <c r="F7" s="2">
        <v>45614</v>
      </c>
      <c r="G7" t="s">
        <v>33</v>
      </c>
      <c r="H7">
        <v>104801</v>
      </c>
      <c r="J7" s="5" t="s">
        <v>46</v>
      </c>
      <c r="K7" s="4">
        <v>5</v>
      </c>
    </row>
    <row r="8" spans="1:13" x14ac:dyDescent="0.3">
      <c r="A8" t="s">
        <v>42</v>
      </c>
      <c r="B8" t="s">
        <v>43</v>
      </c>
      <c r="C8" t="s">
        <v>37</v>
      </c>
      <c r="D8">
        <v>31</v>
      </c>
      <c r="E8" s="2">
        <v>45003</v>
      </c>
      <c r="F8" s="2">
        <v>45668</v>
      </c>
      <c r="G8" t="s">
        <v>33</v>
      </c>
      <c r="H8">
        <v>63913</v>
      </c>
      <c r="J8" s="5" t="s">
        <v>49</v>
      </c>
      <c r="K8" s="4">
        <v>6</v>
      </c>
    </row>
    <row r="9" spans="1:13" x14ac:dyDescent="0.3">
      <c r="A9" t="s">
        <v>44</v>
      </c>
      <c r="B9" t="s">
        <v>31</v>
      </c>
      <c r="C9" t="s">
        <v>37</v>
      </c>
      <c r="D9">
        <v>39</v>
      </c>
      <c r="E9" s="2">
        <v>43867</v>
      </c>
      <c r="F9" s="2"/>
      <c r="G9" t="s">
        <v>38</v>
      </c>
      <c r="H9">
        <v>79964</v>
      </c>
      <c r="J9" s="5" t="s">
        <v>177</v>
      </c>
      <c r="K9" s="4">
        <v>30</v>
      </c>
    </row>
    <row r="10" spans="1:13" x14ac:dyDescent="0.3">
      <c r="A10" t="s">
        <v>45</v>
      </c>
      <c r="B10" t="s">
        <v>46</v>
      </c>
      <c r="C10" t="s">
        <v>37</v>
      </c>
      <c r="D10">
        <v>41</v>
      </c>
      <c r="E10" s="2">
        <v>44395</v>
      </c>
      <c r="F10" s="2">
        <v>45042</v>
      </c>
      <c r="G10" t="s">
        <v>33</v>
      </c>
      <c r="H10">
        <v>71187</v>
      </c>
    </row>
    <row r="11" spans="1:13" x14ac:dyDescent="0.3">
      <c r="A11" t="s">
        <v>47</v>
      </c>
      <c r="B11" t="s">
        <v>43</v>
      </c>
      <c r="C11" t="s">
        <v>37</v>
      </c>
      <c r="D11">
        <v>33</v>
      </c>
      <c r="E11" s="2">
        <v>44160</v>
      </c>
      <c r="F11" s="2">
        <v>44520</v>
      </c>
      <c r="G11" t="s">
        <v>33</v>
      </c>
      <c r="H11">
        <v>85778</v>
      </c>
    </row>
    <row r="12" spans="1:13" x14ac:dyDescent="0.3">
      <c r="A12" t="s">
        <v>48</v>
      </c>
      <c r="B12" t="s">
        <v>49</v>
      </c>
      <c r="C12" t="s">
        <v>32</v>
      </c>
      <c r="D12">
        <v>44</v>
      </c>
      <c r="E12" s="2">
        <v>45279</v>
      </c>
      <c r="F12" s="2">
        <v>45887</v>
      </c>
      <c r="G12" t="s">
        <v>33</v>
      </c>
      <c r="H12">
        <v>38642</v>
      </c>
      <c r="J12" s="3" t="s">
        <v>195</v>
      </c>
      <c r="K12" s="3" t="s">
        <v>24</v>
      </c>
      <c r="L12" s="4"/>
      <c r="M12" s="4"/>
    </row>
    <row r="13" spans="1:13" x14ac:dyDescent="0.3">
      <c r="A13" t="s">
        <v>50</v>
      </c>
      <c r="B13" t="s">
        <v>43</v>
      </c>
      <c r="C13" t="s">
        <v>37</v>
      </c>
      <c r="D13">
        <v>39</v>
      </c>
      <c r="E13" s="2">
        <v>44960</v>
      </c>
      <c r="F13" s="2">
        <v>45491</v>
      </c>
      <c r="G13" t="s">
        <v>33</v>
      </c>
      <c r="H13">
        <v>52972</v>
      </c>
      <c r="J13" s="3" t="s">
        <v>23</v>
      </c>
      <c r="K13" s="4" t="s">
        <v>32</v>
      </c>
      <c r="L13" s="4" t="s">
        <v>37</v>
      </c>
      <c r="M13" s="4" t="s">
        <v>177</v>
      </c>
    </row>
    <row r="14" spans="1:13" x14ac:dyDescent="0.3">
      <c r="A14" t="s">
        <v>51</v>
      </c>
      <c r="B14" t="s">
        <v>49</v>
      </c>
      <c r="C14" t="s">
        <v>37</v>
      </c>
      <c r="D14">
        <v>49</v>
      </c>
      <c r="E14" s="2">
        <v>44227</v>
      </c>
      <c r="F14" s="2">
        <v>44318</v>
      </c>
      <c r="G14" t="s">
        <v>33</v>
      </c>
      <c r="H14">
        <v>105379</v>
      </c>
      <c r="J14" s="5" t="s">
        <v>43</v>
      </c>
      <c r="K14" s="4">
        <v>2</v>
      </c>
      <c r="L14" s="4">
        <v>6</v>
      </c>
      <c r="M14" s="4">
        <v>8</v>
      </c>
    </row>
    <row r="15" spans="1:13" x14ac:dyDescent="0.3">
      <c r="A15" t="s">
        <v>52</v>
      </c>
      <c r="B15" t="s">
        <v>35</v>
      </c>
      <c r="C15" t="s">
        <v>37</v>
      </c>
      <c r="D15">
        <v>34</v>
      </c>
      <c r="E15" s="2">
        <v>45119</v>
      </c>
      <c r="F15" s="2"/>
      <c r="G15" t="s">
        <v>38</v>
      </c>
      <c r="H15">
        <v>107731</v>
      </c>
      <c r="J15" s="5" t="s">
        <v>31</v>
      </c>
      <c r="K15" s="4">
        <v>2</v>
      </c>
      <c r="L15" s="4">
        <v>2</v>
      </c>
      <c r="M15" s="4">
        <v>4</v>
      </c>
    </row>
    <row r="16" spans="1:13" x14ac:dyDescent="0.3">
      <c r="A16" t="s">
        <v>53</v>
      </c>
      <c r="B16" t="s">
        <v>35</v>
      </c>
      <c r="C16" t="s">
        <v>37</v>
      </c>
      <c r="D16">
        <v>27</v>
      </c>
      <c r="E16" s="2">
        <v>44299</v>
      </c>
      <c r="F16" s="2"/>
      <c r="G16" t="s">
        <v>38</v>
      </c>
      <c r="H16">
        <v>32559</v>
      </c>
      <c r="J16" s="5" t="s">
        <v>35</v>
      </c>
      <c r="K16" s="4">
        <v>3</v>
      </c>
      <c r="L16" s="4">
        <v>4</v>
      </c>
      <c r="M16" s="4">
        <v>7</v>
      </c>
    </row>
    <row r="17" spans="1:13" x14ac:dyDescent="0.3">
      <c r="A17" t="s">
        <v>54</v>
      </c>
      <c r="B17" t="s">
        <v>43</v>
      </c>
      <c r="C17" t="s">
        <v>32</v>
      </c>
      <c r="D17">
        <v>44</v>
      </c>
      <c r="E17" s="2">
        <v>43882</v>
      </c>
      <c r="F17" s="2">
        <v>44477</v>
      </c>
      <c r="G17" t="s">
        <v>33</v>
      </c>
      <c r="H17">
        <v>55865</v>
      </c>
      <c r="J17" s="5" t="s">
        <v>46</v>
      </c>
      <c r="K17" s="4">
        <v>2</v>
      </c>
      <c r="L17" s="4">
        <v>3</v>
      </c>
      <c r="M17" s="4">
        <v>5</v>
      </c>
    </row>
    <row r="18" spans="1:13" x14ac:dyDescent="0.3">
      <c r="A18" t="s">
        <v>55</v>
      </c>
      <c r="B18" t="s">
        <v>43</v>
      </c>
      <c r="C18" t="s">
        <v>37</v>
      </c>
      <c r="D18">
        <v>25</v>
      </c>
      <c r="E18" s="2">
        <v>44776</v>
      </c>
      <c r="F18" s="2">
        <v>44949</v>
      </c>
      <c r="G18" t="s">
        <v>33</v>
      </c>
      <c r="H18">
        <v>98094</v>
      </c>
      <c r="J18" s="5" t="s">
        <v>49</v>
      </c>
      <c r="K18" s="4">
        <v>4</v>
      </c>
      <c r="L18" s="4">
        <v>2</v>
      </c>
      <c r="M18" s="4">
        <v>6</v>
      </c>
    </row>
    <row r="19" spans="1:13" x14ac:dyDescent="0.3">
      <c r="A19" t="s">
        <v>56</v>
      </c>
      <c r="B19" t="s">
        <v>46</v>
      </c>
      <c r="C19" t="s">
        <v>32</v>
      </c>
      <c r="D19">
        <v>33</v>
      </c>
      <c r="E19" s="2">
        <v>44436</v>
      </c>
      <c r="F19" s="2"/>
      <c r="G19" t="s">
        <v>38</v>
      </c>
      <c r="H19">
        <v>90546</v>
      </c>
      <c r="J19" s="5" t="s">
        <v>177</v>
      </c>
      <c r="K19" s="4">
        <v>13</v>
      </c>
      <c r="L19" s="4">
        <v>17</v>
      </c>
      <c r="M19" s="4">
        <v>30</v>
      </c>
    </row>
    <row r="20" spans="1:13" x14ac:dyDescent="0.3">
      <c r="A20" t="s">
        <v>57</v>
      </c>
      <c r="B20" t="s">
        <v>46</v>
      </c>
      <c r="C20" t="s">
        <v>37</v>
      </c>
      <c r="D20">
        <v>22</v>
      </c>
      <c r="E20" s="2">
        <v>43852</v>
      </c>
      <c r="F20" s="2">
        <v>44563</v>
      </c>
      <c r="G20" t="s">
        <v>33</v>
      </c>
      <c r="H20">
        <v>34566</v>
      </c>
    </row>
    <row r="21" spans="1:13" x14ac:dyDescent="0.3">
      <c r="A21" t="s">
        <v>58</v>
      </c>
      <c r="B21" t="s">
        <v>46</v>
      </c>
      <c r="C21" t="s">
        <v>32</v>
      </c>
      <c r="D21">
        <v>24</v>
      </c>
      <c r="E21" s="2">
        <v>44129</v>
      </c>
      <c r="F21" s="2">
        <v>44545</v>
      </c>
      <c r="G21" t="s">
        <v>33</v>
      </c>
      <c r="H21">
        <v>105366</v>
      </c>
    </row>
    <row r="22" spans="1:13" x14ac:dyDescent="0.3">
      <c r="A22" t="s">
        <v>59</v>
      </c>
      <c r="B22" t="s">
        <v>31</v>
      </c>
      <c r="C22" t="s">
        <v>32</v>
      </c>
      <c r="D22">
        <v>30</v>
      </c>
      <c r="E22" s="2">
        <v>44624</v>
      </c>
      <c r="F22" s="2"/>
      <c r="G22" t="s">
        <v>38</v>
      </c>
      <c r="H22">
        <v>63032</v>
      </c>
      <c r="J22" s="3" t="s">
        <v>23</v>
      </c>
      <c r="K22" s="4" t="s">
        <v>196</v>
      </c>
      <c r="L22" s="4" t="s">
        <v>197</v>
      </c>
    </row>
    <row r="23" spans="1:13" x14ac:dyDescent="0.3">
      <c r="A23" t="s">
        <v>60</v>
      </c>
      <c r="B23" t="s">
        <v>35</v>
      </c>
      <c r="C23" t="s">
        <v>37</v>
      </c>
      <c r="D23">
        <v>29</v>
      </c>
      <c r="E23" s="2">
        <v>44464</v>
      </c>
      <c r="F23" s="2"/>
      <c r="G23" t="s">
        <v>38</v>
      </c>
      <c r="H23">
        <v>65831</v>
      </c>
      <c r="J23" s="5" t="s">
        <v>43</v>
      </c>
      <c r="K23" s="4">
        <v>34.75</v>
      </c>
      <c r="L23" s="4">
        <v>71203.75</v>
      </c>
    </row>
    <row r="24" spans="1:13" x14ac:dyDescent="0.3">
      <c r="A24" t="s">
        <v>61</v>
      </c>
      <c r="B24" t="s">
        <v>46</v>
      </c>
      <c r="C24" t="s">
        <v>37</v>
      </c>
      <c r="D24">
        <v>46</v>
      </c>
      <c r="E24" s="2">
        <v>44898</v>
      </c>
      <c r="F24" s="2">
        <v>45264</v>
      </c>
      <c r="G24" t="s">
        <v>33</v>
      </c>
      <c r="H24">
        <v>34892</v>
      </c>
      <c r="J24" s="5" t="s">
        <v>31</v>
      </c>
      <c r="K24" s="4">
        <v>35</v>
      </c>
      <c r="L24" s="4">
        <v>67847</v>
      </c>
    </row>
    <row r="25" spans="1:13" x14ac:dyDescent="0.3">
      <c r="A25" t="s">
        <v>62</v>
      </c>
      <c r="B25" t="s">
        <v>49</v>
      </c>
      <c r="C25" t="s">
        <v>32</v>
      </c>
      <c r="D25">
        <v>31</v>
      </c>
      <c r="E25" s="2">
        <v>43884</v>
      </c>
      <c r="F25" s="2"/>
      <c r="G25" t="s">
        <v>38</v>
      </c>
      <c r="H25">
        <v>31149</v>
      </c>
      <c r="J25" s="5" t="s">
        <v>35</v>
      </c>
      <c r="K25" s="4">
        <v>37.428571428571431</v>
      </c>
      <c r="L25" s="4">
        <v>60920.857142857145</v>
      </c>
    </row>
    <row r="26" spans="1:13" x14ac:dyDescent="0.3">
      <c r="A26" t="s">
        <v>63</v>
      </c>
      <c r="B26" t="s">
        <v>43</v>
      </c>
      <c r="C26" t="s">
        <v>32</v>
      </c>
      <c r="D26">
        <v>41</v>
      </c>
      <c r="E26" s="2">
        <v>45208</v>
      </c>
      <c r="F26" s="2">
        <v>45449</v>
      </c>
      <c r="G26" t="s">
        <v>33</v>
      </c>
      <c r="H26">
        <v>42901</v>
      </c>
      <c r="J26" s="5" t="s">
        <v>46</v>
      </c>
      <c r="K26" s="4">
        <v>33.200000000000003</v>
      </c>
      <c r="L26" s="4">
        <v>67311.399999999994</v>
      </c>
    </row>
    <row r="27" spans="1:13" x14ac:dyDescent="0.3">
      <c r="A27" t="s">
        <v>64</v>
      </c>
      <c r="B27" t="s">
        <v>49</v>
      </c>
      <c r="C27" t="s">
        <v>37</v>
      </c>
      <c r="D27">
        <v>41</v>
      </c>
      <c r="E27" s="2">
        <v>45147</v>
      </c>
      <c r="F27" s="2"/>
      <c r="G27" t="s">
        <v>38</v>
      </c>
      <c r="H27">
        <v>84454</v>
      </c>
      <c r="J27" s="5" t="s">
        <v>49</v>
      </c>
      <c r="K27" s="4">
        <v>39.666666666666664</v>
      </c>
      <c r="L27" s="4">
        <v>67625.833333333328</v>
      </c>
    </row>
    <row r="28" spans="1:13" x14ac:dyDescent="0.3">
      <c r="A28" t="s">
        <v>65</v>
      </c>
      <c r="B28" t="s">
        <v>49</v>
      </c>
      <c r="C28" t="s">
        <v>32</v>
      </c>
      <c r="D28">
        <v>32</v>
      </c>
      <c r="E28" s="2">
        <v>44601</v>
      </c>
      <c r="F28" s="2">
        <v>45366</v>
      </c>
      <c r="G28" t="s">
        <v>33</v>
      </c>
      <c r="H28">
        <v>57114</v>
      </c>
      <c r="J28" s="5" t="s">
        <v>177</v>
      </c>
      <c r="K28" s="4">
        <v>36.133333333333333</v>
      </c>
      <c r="L28" s="4">
        <v>66992.53333333334</v>
      </c>
    </row>
    <row r="29" spans="1:13" x14ac:dyDescent="0.3">
      <c r="A29" t="s">
        <v>66</v>
      </c>
      <c r="B29" t="s">
        <v>43</v>
      </c>
      <c r="C29" t="s">
        <v>37</v>
      </c>
      <c r="D29">
        <v>37</v>
      </c>
      <c r="E29" s="2">
        <v>45179</v>
      </c>
      <c r="F29" s="2">
        <v>45718</v>
      </c>
      <c r="G29" t="s">
        <v>33</v>
      </c>
      <c r="H29">
        <v>64488</v>
      </c>
    </row>
    <row r="30" spans="1:13" x14ac:dyDescent="0.3">
      <c r="A30" t="s">
        <v>67</v>
      </c>
      <c r="B30" t="s">
        <v>49</v>
      </c>
      <c r="C30" t="s">
        <v>32</v>
      </c>
      <c r="D30">
        <v>41</v>
      </c>
      <c r="E30" s="2">
        <v>44739</v>
      </c>
      <c r="F30" s="2">
        <v>45289</v>
      </c>
      <c r="G30" t="s">
        <v>33</v>
      </c>
      <c r="H30">
        <v>89017</v>
      </c>
    </row>
    <row r="31" spans="1:13" x14ac:dyDescent="0.3">
      <c r="A31" t="s">
        <v>68</v>
      </c>
      <c r="B31" t="s">
        <v>43</v>
      </c>
      <c r="C31" t="s">
        <v>37</v>
      </c>
      <c r="D31">
        <v>28</v>
      </c>
      <c r="E31" s="2">
        <v>45210</v>
      </c>
      <c r="F31" s="2">
        <v>46054</v>
      </c>
      <c r="G31" t="s">
        <v>33</v>
      </c>
      <c r="H31">
        <v>105619</v>
      </c>
      <c r="J31" s="3" t="s">
        <v>205</v>
      </c>
      <c r="K31" s="4" t="s">
        <v>193</v>
      </c>
    </row>
    <row r="32" spans="1:13" x14ac:dyDescent="0.3">
      <c r="J32" s="5" t="s">
        <v>198</v>
      </c>
      <c r="K32" s="4">
        <v>10</v>
      </c>
    </row>
    <row r="33" spans="10:11" x14ac:dyDescent="0.3">
      <c r="J33" s="5" t="s">
        <v>199</v>
      </c>
      <c r="K33" s="4">
        <v>4</v>
      </c>
    </row>
    <row r="34" spans="10:11" x14ac:dyDescent="0.3">
      <c r="J34" s="5" t="s">
        <v>200</v>
      </c>
      <c r="K34" s="4">
        <v>1</v>
      </c>
    </row>
    <row r="35" spans="10:11" x14ac:dyDescent="0.3">
      <c r="J35" s="5" t="s">
        <v>201</v>
      </c>
      <c r="K35" s="4">
        <v>5</v>
      </c>
    </row>
    <row r="36" spans="10:11" x14ac:dyDescent="0.3">
      <c r="J36" s="5" t="s">
        <v>202</v>
      </c>
      <c r="K36" s="4">
        <v>6</v>
      </c>
    </row>
    <row r="37" spans="10:11" x14ac:dyDescent="0.3">
      <c r="J37" s="5" t="s">
        <v>203</v>
      </c>
      <c r="K37" s="4">
        <v>3</v>
      </c>
    </row>
    <row r="38" spans="10:11" x14ac:dyDescent="0.3">
      <c r="J38" s="5" t="s">
        <v>204</v>
      </c>
      <c r="K38" s="4">
        <v>1</v>
      </c>
    </row>
    <row r="39" spans="10:11" x14ac:dyDescent="0.3">
      <c r="J39" s="5" t="s">
        <v>177</v>
      </c>
      <c r="K39" s="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>
      <selection activeCell="A2" sqref="A2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5" bestFit="1" customWidth="1"/>
    <col min="4" max="4" width="4" bestFit="1" customWidth="1"/>
    <col min="5" max="5" width="10.77734375" bestFit="1" customWidth="1"/>
    <col min="6" max="6" width="17.77734375" bestFit="1" customWidth="1"/>
    <col min="7" max="7" width="18.109375" bestFit="1" customWidth="1"/>
    <col min="8" max="8" width="12.109375" bestFit="1" customWidth="1"/>
    <col min="10" max="10" width="10.77734375" bestFit="1" customWidth="1"/>
    <col min="11" max="11" width="24.33203125" bestFit="1" customWidth="1"/>
    <col min="12" max="12" width="19.109375" bestFit="1" customWidth="1"/>
    <col min="13" max="13" width="18.77734375" bestFit="1" customWidth="1"/>
  </cols>
  <sheetData>
    <row r="1" spans="1:12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0</v>
      </c>
      <c r="H1" s="1" t="s">
        <v>75</v>
      </c>
    </row>
    <row r="2" spans="1:12" x14ac:dyDescent="0.3">
      <c r="A2" t="s">
        <v>76</v>
      </c>
      <c r="B2" t="s">
        <v>77</v>
      </c>
      <c r="C2" t="s">
        <v>78</v>
      </c>
      <c r="D2">
        <v>120</v>
      </c>
      <c r="E2">
        <v>80</v>
      </c>
      <c r="F2">
        <v>84</v>
      </c>
      <c r="G2" s="2">
        <v>45155</v>
      </c>
      <c r="H2">
        <v>124</v>
      </c>
    </row>
    <row r="3" spans="1:12" x14ac:dyDescent="0.3">
      <c r="A3" t="s">
        <v>79</v>
      </c>
      <c r="B3" t="s">
        <v>80</v>
      </c>
      <c r="C3" t="s">
        <v>81</v>
      </c>
      <c r="D3">
        <v>132</v>
      </c>
      <c r="E3">
        <v>54</v>
      </c>
      <c r="F3">
        <v>28</v>
      </c>
      <c r="G3" s="2">
        <v>45189</v>
      </c>
      <c r="H3">
        <v>106</v>
      </c>
      <c r="J3" s="3" t="s">
        <v>3</v>
      </c>
      <c r="K3" s="4" t="s">
        <v>207</v>
      </c>
      <c r="L3" s="4" t="s">
        <v>208</v>
      </c>
    </row>
    <row r="4" spans="1:12" x14ac:dyDescent="0.3">
      <c r="A4" t="s">
        <v>82</v>
      </c>
      <c r="B4" t="s">
        <v>77</v>
      </c>
      <c r="C4" t="s">
        <v>78</v>
      </c>
      <c r="D4">
        <v>54</v>
      </c>
      <c r="E4">
        <v>79</v>
      </c>
      <c r="F4">
        <v>25</v>
      </c>
      <c r="G4" s="2">
        <v>44983</v>
      </c>
      <c r="H4">
        <v>0</v>
      </c>
      <c r="J4" s="5" t="s">
        <v>77</v>
      </c>
      <c r="K4" s="4">
        <v>743</v>
      </c>
      <c r="L4" s="4">
        <v>719</v>
      </c>
    </row>
    <row r="5" spans="1:12" x14ac:dyDescent="0.3">
      <c r="A5" t="s">
        <v>83</v>
      </c>
      <c r="B5" t="s">
        <v>77</v>
      </c>
      <c r="C5" t="s">
        <v>84</v>
      </c>
      <c r="D5">
        <v>184</v>
      </c>
      <c r="E5">
        <v>75</v>
      </c>
      <c r="F5">
        <v>81</v>
      </c>
      <c r="G5" s="2">
        <v>45214</v>
      </c>
      <c r="H5">
        <v>190</v>
      </c>
      <c r="J5" s="5" t="s">
        <v>80</v>
      </c>
      <c r="K5" s="4">
        <v>252</v>
      </c>
      <c r="L5" s="4">
        <v>312</v>
      </c>
    </row>
    <row r="6" spans="1:12" x14ac:dyDescent="0.3">
      <c r="A6" t="s">
        <v>85</v>
      </c>
      <c r="B6" t="s">
        <v>86</v>
      </c>
      <c r="C6" t="s">
        <v>78</v>
      </c>
      <c r="D6">
        <v>100</v>
      </c>
      <c r="E6">
        <v>44</v>
      </c>
      <c r="F6">
        <v>29</v>
      </c>
      <c r="G6" s="2">
        <v>45278</v>
      </c>
      <c r="H6">
        <v>85</v>
      </c>
      <c r="J6" s="5" t="s">
        <v>86</v>
      </c>
      <c r="K6" s="4">
        <v>624</v>
      </c>
      <c r="L6" s="4">
        <v>513</v>
      </c>
    </row>
    <row r="7" spans="1:12" x14ac:dyDescent="0.3">
      <c r="A7" t="s">
        <v>87</v>
      </c>
      <c r="B7" t="s">
        <v>80</v>
      </c>
      <c r="C7" t="s">
        <v>81</v>
      </c>
      <c r="D7">
        <v>163</v>
      </c>
      <c r="E7">
        <v>67</v>
      </c>
      <c r="F7">
        <v>63</v>
      </c>
      <c r="G7" s="2">
        <v>45269</v>
      </c>
      <c r="H7">
        <v>159</v>
      </c>
      <c r="J7" s="5" t="s">
        <v>177</v>
      </c>
      <c r="K7" s="4">
        <v>1619</v>
      </c>
      <c r="L7" s="4">
        <v>1544</v>
      </c>
    </row>
    <row r="8" spans="1:12" x14ac:dyDescent="0.3">
      <c r="A8" t="s">
        <v>88</v>
      </c>
      <c r="B8" t="s">
        <v>86</v>
      </c>
      <c r="C8" t="s">
        <v>78</v>
      </c>
      <c r="D8">
        <v>196</v>
      </c>
      <c r="E8">
        <v>64</v>
      </c>
      <c r="F8">
        <v>44</v>
      </c>
      <c r="G8" s="2">
        <v>45191</v>
      </c>
      <c r="H8">
        <v>176</v>
      </c>
    </row>
    <row r="9" spans="1:12" x14ac:dyDescent="0.3">
      <c r="A9" t="s">
        <v>89</v>
      </c>
      <c r="B9" t="s">
        <v>77</v>
      </c>
      <c r="C9" t="s">
        <v>81</v>
      </c>
      <c r="D9">
        <v>194</v>
      </c>
      <c r="E9">
        <v>46</v>
      </c>
      <c r="F9">
        <v>91</v>
      </c>
      <c r="G9" s="2">
        <v>45224</v>
      </c>
      <c r="H9">
        <v>239</v>
      </c>
    </row>
    <row r="10" spans="1:12" x14ac:dyDescent="0.3">
      <c r="A10" t="s">
        <v>90</v>
      </c>
      <c r="B10" t="s">
        <v>86</v>
      </c>
      <c r="C10" t="s">
        <v>78</v>
      </c>
      <c r="D10">
        <v>95</v>
      </c>
      <c r="E10">
        <v>15</v>
      </c>
      <c r="F10">
        <v>49</v>
      </c>
      <c r="G10" s="2">
        <v>45094</v>
      </c>
      <c r="H10">
        <v>129</v>
      </c>
      <c r="J10" s="3" t="s">
        <v>3</v>
      </c>
      <c r="K10" s="4" t="s">
        <v>209</v>
      </c>
    </row>
    <row r="11" spans="1:12" x14ac:dyDescent="0.3">
      <c r="A11" t="s">
        <v>91</v>
      </c>
      <c r="B11" t="s">
        <v>86</v>
      </c>
      <c r="C11" t="s">
        <v>81</v>
      </c>
      <c r="D11">
        <v>97</v>
      </c>
      <c r="E11">
        <v>33</v>
      </c>
      <c r="F11">
        <v>62</v>
      </c>
      <c r="G11" s="2">
        <v>44972</v>
      </c>
      <c r="H11">
        <v>126</v>
      </c>
      <c r="J11" s="5" t="s">
        <v>77</v>
      </c>
      <c r="K11" s="4">
        <v>1874</v>
      </c>
    </row>
    <row r="12" spans="1:12" x14ac:dyDescent="0.3">
      <c r="A12" t="s">
        <v>92</v>
      </c>
      <c r="B12" t="s">
        <v>86</v>
      </c>
      <c r="C12" t="s">
        <v>81</v>
      </c>
      <c r="D12">
        <v>177</v>
      </c>
      <c r="E12">
        <v>63</v>
      </c>
      <c r="F12">
        <v>67</v>
      </c>
      <c r="G12" s="2">
        <v>44947</v>
      </c>
      <c r="H12">
        <v>181</v>
      </c>
      <c r="J12" s="5" t="s">
        <v>80</v>
      </c>
      <c r="K12" s="4">
        <v>592</v>
      </c>
    </row>
    <row r="13" spans="1:12" x14ac:dyDescent="0.3">
      <c r="A13" t="s">
        <v>93</v>
      </c>
      <c r="B13" t="s">
        <v>77</v>
      </c>
      <c r="C13" t="s">
        <v>81</v>
      </c>
      <c r="D13">
        <v>114</v>
      </c>
      <c r="E13">
        <v>72</v>
      </c>
      <c r="F13">
        <v>63</v>
      </c>
      <c r="G13" s="2">
        <v>44941</v>
      </c>
      <c r="H13">
        <v>105</v>
      </c>
      <c r="J13" s="5" t="s">
        <v>86</v>
      </c>
      <c r="K13" s="4">
        <v>1343</v>
      </c>
    </row>
    <row r="14" spans="1:12" x14ac:dyDescent="0.3">
      <c r="A14" t="s">
        <v>94</v>
      </c>
      <c r="B14" t="s">
        <v>80</v>
      </c>
      <c r="C14" t="s">
        <v>81</v>
      </c>
      <c r="D14">
        <v>122</v>
      </c>
      <c r="E14">
        <v>55</v>
      </c>
      <c r="F14">
        <v>68</v>
      </c>
      <c r="G14" s="2">
        <v>45041</v>
      </c>
      <c r="H14">
        <v>135</v>
      </c>
      <c r="J14" s="5" t="s">
        <v>177</v>
      </c>
      <c r="K14" s="4">
        <v>3809</v>
      </c>
    </row>
    <row r="15" spans="1:12" x14ac:dyDescent="0.3">
      <c r="A15" t="s">
        <v>95</v>
      </c>
      <c r="B15" t="s">
        <v>77</v>
      </c>
      <c r="C15" t="s">
        <v>81</v>
      </c>
      <c r="D15">
        <v>188</v>
      </c>
      <c r="E15">
        <v>32</v>
      </c>
      <c r="F15">
        <v>26</v>
      </c>
      <c r="G15" s="2">
        <v>45153</v>
      </c>
      <c r="H15">
        <v>182</v>
      </c>
    </row>
    <row r="16" spans="1:12" x14ac:dyDescent="0.3">
      <c r="A16" t="s">
        <v>96</v>
      </c>
      <c r="B16" t="s">
        <v>77</v>
      </c>
      <c r="C16" t="s">
        <v>78</v>
      </c>
      <c r="D16">
        <v>181</v>
      </c>
      <c r="E16">
        <v>66</v>
      </c>
      <c r="F16">
        <v>50</v>
      </c>
      <c r="G16" s="2">
        <v>45026</v>
      </c>
      <c r="H16">
        <v>165</v>
      </c>
    </row>
    <row r="17" spans="1:11" x14ac:dyDescent="0.3">
      <c r="A17" t="s">
        <v>97</v>
      </c>
      <c r="B17" t="s">
        <v>77</v>
      </c>
      <c r="C17" t="s">
        <v>84</v>
      </c>
      <c r="D17">
        <v>71</v>
      </c>
      <c r="E17">
        <v>36</v>
      </c>
      <c r="F17">
        <v>65</v>
      </c>
      <c r="G17" s="2">
        <v>45230</v>
      </c>
      <c r="H17">
        <v>100</v>
      </c>
      <c r="J17" s="3" t="s">
        <v>242</v>
      </c>
      <c r="K17" s="4" t="s">
        <v>210</v>
      </c>
    </row>
    <row r="18" spans="1:11" x14ac:dyDescent="0.3">
      <c r="A18" t="s">
        <v>98</v>
      </c>
      <c r="B18" t="s">
        <v>77</v>
      </c>
      <c r="C18" t="s">
        <v>84</v>
      </c>
      <c r="D18">
        <v>106</v>
      </c>
      <c r="E18">
        <v>10</v>
      </c>
      <c r="F18">
        <v>25</v>
      </c>
      <c r="G18" s="2">
        <v>44978</v>
      </c>
      <c r="H18">
        <v>121</v>
      </c>
      <c r="J18" s="5" t="s">
        <v>211</v>
      </c>
      <c r="K18" s="4">
        <v>2</v>
      </c>
    </row>
    <row r="19" spans="1:11" x14ac:dyDescent="0.3">
      <c r="A19" t="s">
        <v>99</v>
      </c>
      <c r="B19" t="s">
        <v>77</v>
      </c>
      <c r="C19" t="s">
        <v>78</v>
      </c>
      <c r="D19">
        <v>129</v>
      </c>
      <c r="E19">
        <v>22</v>
      </c>
      <c r="F19">
        <v>70</v>
      </c>
      <c r="G19" s="2">
        <v>45003</v>
      </c>
      <c r="H19">
        <v>177</v>
      </c>
      <c r="J19" s="5" t="s">
        <v>212</v>
      </c>
      <c r="K19" s="4">
        <v>2</v>
      </c>
    </row>
    <row r="20" spans="1:11" x14ac:dyDescent="0.3">
      <c r="A20" t="s">
        <v>100</v>
      </c>
      <c r="B20" t="s">
        <v>77</v>
      </c>
      <c r="C20" t="s">
        <v>78</v>
      </c>
      <c r="D20">
        <v>170</v>
      </c>
      <c r="E20">
        <v>56</v>
      </c>
      <c r="F20">
        <v>21</v>
      </c>
      <c r="G20" s="2">
        <v>45004</v>
      </c>
      <c r="H20">
        <v>135</v>
      </c>
      <c r="J20" s="5" t="s">
        <v>213</v>
      </c>
      <c r="K20" s="4">
        <v>2</v>
      </c>
    </row>
    <row r="21" spans="1:11" x14ac:dyDescent="0.3">
      <c r="A21" t="s">
        <v>101</v>
      </c>
      <c r="B21" t="s">
        <v>77</v>
      </c>
      <c r="C21" t="s">
        <v>78</v>
      </c>
      <c r="D21">
        <v>128</v>
      </c>
      <c r="E21">
        <v>40</v>
      </c>
      <c r="F21">
        <v>28</v>
      </c>
      <c r="G21" s="2">
        <v>45166</v>
      </c>
      <c r="H21">
        <v>116</v>
      </c>
      <c r="J21" s="5" t="s">
        <v>214</v>
      </c>
      <c r="K21" s="4">
        <v>1</v>
      </c>
    </row>
    <row r="22" spans="1:11" x14ac:dyDescent="0.3">
      <c r="A22" t="s">
        <v>102</v>
      </c>
      <c r="B22" t="s">
        <v>86</v>
      </c>
      <c r="C22" t="s">
        <v>78</v>
      </c>
      <c r="D22">
        <v>56</v>
      </c>
      <c r="E22">
        <v>46</v>
      </c>
      <c r="F22">
        <v>66</v>
      </c>
      <c r="G22" s="2">
        <v>45052</v>
      </c>
      <c r="H22">
        <v>76</v>
      </c>
      <c r="J22" s="5" t="s">
        <v>215</v>
      </c>
      <c r="K22" s="4">
        <v>1</v>
      </c>
    </row>
    <row r="23" spans="1:11" x14ac:dyDescent="0.3">
      <c r="A23" t="s">
        <v>103</v>
      </c>
      <c r="B23" t="s">
        <v>86</v>
      </c>
      <c r="C23" t="s">
        <v>78</v>
      </c>
      <c r="D23">
        <v>136</v>
      </c>
      <c r="E23">
        <v>20</v>
      </c>
      <c r="F23">
        <v>59</v>
      </c>
      <c r="G23" s="2">
        <v>45247</v>
      </c>
      <c r="H23">
        <v>175</v>
      </c>
      <c r="J23" s="5" t="s">
        <v>216</v>
      </c>
      <c r="K23" s="4">
        <v>2</v>
      </c>
    </row>
    <row r="24" spans="1:11" x14ac:dyDescent="0.3">
      <c r="A24" t="s">
        <v>104</v>
      </c>
      <c r="B24" t="s">
        <v>77</v>
      </c>
      <c r="C24" t="s">
        <v>81</v>
      </c>
      <c r="D24">
        <v>68</v>
      </c>
      <c r="E24">
        <v>56</v>
      </c>
      <c r="F24">
        <v>70</v>
      </c>
      <c r="G24" s="2">
        <v>45100</v>
      </c>
      <c r="H24">
        <v>82</v>
      </c>
      <c r="J24" s="5" t="s">
        <v>217</v>
      </c>
      <c r="K24" s="4">
        <v>1</v>
      </c>
    </row>
    <row r="25" spans="1:11" x14ac:dyDescent="0.3">
      <c r="A25" t="s">
        <v>105</v>
      </c>
      <c r="B25" t="s">
        <v>80</v>
      </c>
      <c r="C25" t="s">
        <v>84</v>
      </c>
      <c r="D25">
        <v>165</v>
      </c>
      <c r="E25">
        <v>68</v>
      </c>
      <c r="F25">
        <v>47</v>
      </c>
      <c r="G25" s="2">
        <v>45286</v>
      </c>
      <c r="H25">
        <v>144</v>
      </c>
      <c r="J25" s="5" t="s">
        <v>218</v>
      </c>
      <c r="K25" s="4">
        <v>1</v>
      </c>
    </row>
    <row r="26" spans="1:11" x14ac:dyDescent="0.3">
      <c r="A26" t="s">
        <v>106</v>
      </c>
      <c r="B26" t="s">
        <v>86</v>
      </c>
      <c r="C26" t="s">
        <v>81</v>
      </c>
      <c r="D26">
        <v>71</v>
      </c>
      <c r="E26">
        <v>68</v>
      </c>
      <c r="F26">
        <v>57</v>
      </c>
      <c r="G26" s="2">
        <v>44987</v>
      </c>
      <c r="H26">
        <v>60</v>
      </c>
      <c r="J26" s="5" t="s">
        <v>219</v>
      </c>
      <c r="K26" s="4">
        <v>1</v>
      </c>
    </row>
    <row r="27" spans="1:11" x14ac:dyDescent="0.3">
      <c r="A27" t="s">
        <v>107</v>
      </c>
      <c r="B27" t="s">
        <v>86</v>
      </c>
      <c r="C27" t="s">
        <v>84</v>
      </c>
      <c r="D27">
        <v>56</v>
      </c>
      <c r="E27">
        <v>70</v>
      </c>
      <c r="F27">
        <v>75</v>
      </c>
      <c r="G27" s="2">
        <v>45123</v>
      </c>
      <c r="H27">
        <v>61</v>
      </c>
      <c r="J27" s="5" t="s">
        <v>220</v>
      </c>
      <c r="K27" s="4">
        <v>1</v>
      </c>
    </row>
    <row r="28" spans="1:11" x14ac:dyDescent="0.3">
      <c r="A28" t="s">
        <v>108</v>
      </c>
      <c r="B28" t="s">
        <v>86</v>
      </c>
      <c r="C28" t="s">
        <v>84</v>
      </c>
      <c r="D28">
        <v>80</v>
      </c>
      <c r="E28">
        <v>61</v>
      </c>
      <c r="F28">
        <v>39</v>
      </c>
      <c r="G28" s="2">
        <v>44937</v>
      </c>
      <c r="H28">
        <v>58</v>
      </c>
      <c r="J28" s="5" t="s">
        <v>221</v>
      </c>
      <c r="K28" s="4">
        <v>1</v>
      </c>
    </row>
    <row r="29" spans="1:11" x14ac:dyDescent="0.3">
      <c r="A29" t="s">
        <v>109</v>
      </c>
      <c r="B29" t="s">
        <v>80</v>
      </c>
      <c r="C29" t="s">
        <v>81</v>
      </c>
      <c r="D29">
        <v>70</v>
      </c>
      <c r="E29">
        <v>68</v>
      </c>
      <c r="F29">
        <v>46</v>
      </c>
      <c r="G29" s="2">
        <v>45261</v>
      </c>
      <c r="H29">
        <v>48</v>
      </c>
      <c r="J29" s="5" t="s">
        <v>222</v>
      </c>
      <c r="K29" s="4">
        <v>1</v>
      </c>
    </row>
    <row r="30" spans="1:11" x14ac:dyDescent="0.3">
      <c r="A30" t="s">
        <v>110</v>
      </c>
      <c r="B30" t="s">
        <v>77</v>
      </c>
      <c r="C30" t="s">
        <v>78</v>
      </c>
      <c r="D30">
        <v>143</v>
      </c>
      <c r="E30">
        <v>49</v>
      </c>
      <c r="F30">
        <v>44</v>
      </c>
      <c r="G30" s="2">
        <v>45147</v>
      </c>
      <c r="H30">
        <v>138</v>
      </c>
      <c r="J30" s="5" t="s">
        <v>223</v>
      </c>
      <c r="K30" s="4">
        <v>2</v>
      </c>
    </row>
    <row r="31" spans="1:11" x14ac:dyDescent="0.3">
      <c r="A31" t="s">
        <v>111</v>
      </c>
      <c r="B31" t="s">
        <v>86</v>
      </c>
      <c r="C31" t="s">
        <v>84</v>
      </c>
      <c r="D31">
        <v>168</v>
      </c>
      <c r="E31">
        <v>29</v>
      </c>
      <c r="F31">
        <v>77</v>
      </c>
      <c r="G31" s="2">
        <v>44944</v>
      </c>
      <c r="H31">
        <v>216</v>
      </c>
      <c r="J31" s="5" t="s">
        <v>224</v>
      </c>
      <c r="K31" s="4">
        <v>1</v>
      </c>
    </row>
    <row r="32" spans="1:11" x14ac:dyDescent="0.3">
      <c r="J32" s="5" t="s">
        <v>225</v>
      </c>
      <c r="K32" s="4">
        <v>1</v>
      </c>
    </row>
    <row r="33" spans="1:11" x14ac:dyDescent="0.3">
      <c r="J33" s="5" t="s">
        <v>226</v>
      </c>
      <c r="K33" s="4">
        <v>2</v>
      </c>
    </row>
    <row r="34" spans="1:11" x14ac:dyDescent="0.3">
      <c r="A34" s="3" t="s">
        <v>206</v>
      </c>
      <c r="B34" s="3" t="s">
        <v>71</v>
      </c>
      <c r="C34" s="4"/>
      <c r="D34" s="4"/>
      <c r="E34" s="4"/>
      <c r="J34" s="5" t="s">
        <v>227</v>
      </c>
      <c r="K34" s="4">
        <v>1</v>
      </c>
    </row>
    <row r="35" spans="1:11" x14ac:dyDescent="0.3">
      <c r="A35" s="3" t="s">
        <v>3</v>
      </c>
      <c r="B35" s="4" t="s">
        <v>78</v>
      </c>
      <c r="C35" s="4" t="s">
        <v>81</v>
      </c>
      <c r="D35" s="4" t="s">
        <v>84</v>
      </c>
      <c r="E35" s="4" t="s">
        <v>177</v>
      </c>
      <c r="J35" s="5" t="s">
        <v>228</v>
      </c>
      <c r="K35" s="4">
        <v>2</v>
      </c>
    </row>
    <row r="36" spans="1:11" x14ac:dyDescent="0.3">
      <c r="A36" s="5" t="s">
        <v>77</v>
      </c>
      <c r="B36" s="7">
        <v>925</v>
      </c>
      <c r="C36" s="7">
        <v>564</v>
      </c>
      <c r="D36" s="7">
        <v>361</v>
      </c>
      <c r="E36" s="7">
        <v>1850</v>
      </c>
      <c r="J36" s="5" t="s">
        <v>229</v>
      </c>
      <c r="K36" s="4">
        <v>1</v>
      </c>
    </row>
    <row r="37" spans="1:11" x14ac:dyDescent="0.3">
      <c r="A37" s="5" t="s">
        <v>80</v>
      </c>
      <c r="B37" s="7"/>
      <c r="C37" s="7">
        <v>487</v>
      </c>
      <c r="D37" s="7">
        <v>165</v>
      </c>
      <c r="E37" s="7">
        <v>652</v>
      </c>
      <c r="J37" s="5" t="s">
        <v>230</v>
      </c>
      <c r="K37" s="4">
        <v>1</v>
      </c>
    </row>
    <row r="38" spans="1:11" x14ac:dyDescent="0.3">
      <c r="A38" s="5" t="s">
        <v>86</v>
      </c>
      <c r="B38" s="7">
        <v>583</v>
      </c>
      <c r="C38" s="7">
        <v>345</v>
      </c>
      <c r="D38" s="7">
        <v>304</v>
      </c>
      <c r="E38" s="7">
        <v>1232</v>
      </c>
      <c r="J38" s="5" t="s">
        <v>231</v>
      </c>
      <c r="K38" s="4">
        <v>1</v>
      </c>
    </row>
    <row r="39" spans="1:11" x14ac:dyDescent="0.3">
      <c r="A39" s="5" t="s">
        <v>177</v>
      </c>
      <c r="B39" s="7">
        <v>1508</v>
      </c>
      <c r="C39" s="7">
        <v>1396</v>
      </c>
      <c r="D39" s="7">
        <v>830</v>
      </c>
      <c r="E39" s="7">
        <v>3734</v>
      </c>
      <c r="J39" s="5" t="s">
        <v>232</v>
      </c>
      <c r="K39" s="4">
        <v>1</v>
      </c>
    </row>
    <row r="40" spans="1:11" x14ac:dyDescent="0.3">
      <c r="J40" s="5" t="s">
        <v>233</v>
      </c>
      <c r="K40" s="4">
        <v>1</v>
      </c>
    </row>
    <row r="41" spans="1:11" x14ac:dyDescent="0.3">
      <c r="J41" s="5" t="s">
        <v>177</v>
      </c>
      <c r="K41" s="4">
        <v>30</v>
      </c>
    </row>
  </sheetData>
  <conditionalFormatting sqref="A34:B34 A35:A38">
    <cfRule type="cellIs" dxfId="172" priority="2" operator="lessThanOrEqual">
      <formula>200</formula>
    </cfRule>
  </conditionalFormatting>
  <conditionalFormatting pivot="1" sqref="B36:D38">
    <cfRule type="cellIs" dxfId="7" priority="1" operator="lessThanOrEqual">
      <formula>200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workbookViewId="0">
      <selection activeCell="B2" sqref="B2"/>
    </sheetView>
  </sheetViews>
  <sheetFormatPr defaultRowHeight="14.4" x14ac:dyDescent="0.3"/>
  <cols>
    <col min="1" max="1" width="11.109375" bestFit="1" customWidth="1"/>
    <col min="2" max="2" width="16" bestFit="1" customWidth="1"/>
    <col min="3" max="3" width="15.33203125" bestFit="1" customWidth="1"/>
    <col min="4" max="4" width="7" bestFit="1" customWidth="1"/>
    <col min="5" max="5" width="18.109375" bestFit="1" customWidth="1"/>
    <col min="6" max="6" width="12.44140625" bestFit="1" customWidth="1"/>
    <col min="8" max="8" width="12.5546875" bestFit="1" customWidth="1"/>
    <col min="9" max="9" width="22" bestFit="1" customWidth="1"/>
    <col min="10" max="10" width="8.5546875" bestFit="1" customWidth="1"/>
    <col min="11" max="11" width="8" bestFit="1" customWidth="1"/>
    <col min="12" max="12" width="6.109375" bestFit="1" customWidth="1"/>
    <col min="13" max="13" width="10.77734375" bestFit="1" customWidth="1"/>
  </cols>
  <sheetData>
    <row r="1" spans="1:11" x14ac:dyDescent="0.3">
      <c r="A1" s="1" t="s">
        <v>23</v>
      </c>
      <c r="B1" s="1" t="s">
        <v>112</v>
      </c>
      <c r="C1" s="1" t="s">
        <v>113</v>
      </c>
      <c r="D1" s="1" t="s">
        <v>114</v>
      </c>
      <c r="E1" s="1" t="s">
        <v>0</v>
      </c>
      <c r="F1" s="1" t="s">
        <v>115</v>
      </c>
    </row>
    <row r="2" spans="1:11" x14ac:dyDescent="0.3">
      <c r="A2" t="s">
        <v>35</v>
      </c>
      <c r="B2" t="s">
        <v>116</v>
      </c>
      <c r="C2">
        <v>3707</v>
      </c>
      <c r="D2">
        <v>5413</v>
      </c>
      <c r="E2" s="2">
        <v>45091</v>
      </c>
      <c r="F2" t="s">
        <v>117</v>
      </c>
      <c r="H2" s="3" t="s">
        <v>23</v>
      </c>
      <c r="I2" s="4" t="s">
        <v>234</v>
      </c>
      <c r="J2" s="4" t="s">
        <v>235</v>
      </c>
    </row>
    <row r="3" spans="1:11" x14ac:dyDescent="0.3">
      <c r="A3" t="s">
        <v>118</v>
      </c>
      <c r="B3" t="s">
        <v>119</v>
      </c>
      <c r="C3">
        <v>8341</v>
      </c>
      <c r="D3">
        <v>10963</v>
      </c>
      <c r="E3" s="2">
        <v>45111</v>
      </c>
      <c r="F3" t="s">
        <v>120</v>
      </c>
      <c r="H3" s="5" t="s">
        <v>118</v>
      </c>
      <c r="I3" s="4">
        <v>54260</v>
      </c>
      <c r="J3" s="4">
        <v>100201</v>
      </c>
    </row>
    <row r="4" spans="1:11" x14ac:dyDescent="0.3">
      <c r="A4" t="s">
        <v>121</v>
      </c>
      <c r="B4" t="s">
        <v>122</v>
      </c>
      <c r="C4">
        <v>8733</v>
      </c>
      <c r="D4">
        <v>8992</v>
      </c>
      <c r="E4" s="2">
        <v>45125</v>
      </c>
      <c r="F4" t="s">
        <v>123</v>
      </c>
      <c r="H4" s="5" t="s">
        <v>35</v>
      </c>
      <c r="I4" s="4">
        <v>48167</v>
      </c>
      <c r="J4" s="4">
        <v>86839</v>
      </c>
    </row>
    <row r="5" spans="1:11" x14ac:dyDescent="0.3">
      <c r="A5" t="s">
        <v>121</v>
      </c>
      <c r="B5" t="s">
        <v>124</v>
      </c>
      <c r="C5">
        <v>1403</v>
      </c>
      <c r="D5">
        <v>7501</v>
      </c>
      <c r="E5" s="2">
        <v>45280</v>
      </c>
      <c r="F5" t="s">
        <v>117</v>
      </c>
      <c r="H5" s="5" t="s">
        <v>126</v>
      </c>
      <c r="I5" s="4">
        <v>11562</v>
      </c>
      <c r="J5" s="4">
        <v>21818</v>
      </c>
    </row>
    <row r="6" spans="1:11" x14ac:dyDescent="0.3">
      <c r="A6" t="s">
        <v>118</v>
      </c>
      <c r="B6" t="s">
        <v>124</v>
      </c>
      <c r="C6">
        <v>5713</v>
      </c>
      <c r="D6">
        <v>11398</v>
      </c>
      <c r="E6" s="2">
        <v>45022</v>
      </c>
      <c r="F6" t="s">
        <v>117</v>
      </c>
      <c r="H6" s="5" t="s">
        <v>121</v>
      </c>
      <c r="I6" s="4">
        <v>40872</v>
      </c>
      <c r="J6" s="4">
        <v>82279</v>
      </c>
    </row>
    <row r="7" spans="1:11" x14ac:dyDescent="0.3">
      <c r="A7" t="s">
        <v>121</v>
      </c>
      <c r="B7" t="s">
        <v>116</v>
      </c>
      <c r="C7">
        <v>9223</v>
      </c>
      <c r="D7">
        <v>13529</v>
      </c>
      <c r="E7" s="2">
        <v>45034</v>
      </c>
      <c r="F7" t="s">
        <v>125</v>
      </c>
      <c r="H7" s="5" t="s">
        <v>177</v>
      </c>
      <c r="I7" s="4">
        <v>154861</v>
      </c>
      <c r="J7" s="4">
        <v>291137</v>
      </c>
    </row>
    <row r="8" spans="1:11" x14ac:dyDescent="0.3">
      <c r="A8" t="s">
        <v>118</v>
      </c>
      <c r="B8" t="s">
        <v>119</v>
      </c>
      <c r="C8">
        <v>2901</v>
      </c>
      <c r="D8">
        <v>12206</v>
      </c>
      <c r="E8" s="2">
        <v>45105</v>
      </c>
      <c r="F8" t="s">
        <v>120</v>
      </c>
    </row>
    <row r="9" spans="1:11" x14ac:dyDescent="0.3">
      <c r="A9" t="s">
        <v>118</v>
      </c>
      <c r="B9" t="s">
        <v>122</v>
      </c>
      <c r="C9">
        <v>2121</v>
      </c>
      <c r="D9">
        <v>11558</v>
      </c>
      <c r="E9" s="2">
        <v>45260</v>
      </c>
      <c r="F9" t="s">
        <v>120</v>
      </c>
      <c r="H9" s="3" t="s">
        <v>176</v>
      </c>
      <c r="I9" s="4" t="s">
        <v>235</v>
      </c>
      <c r="J9" s="4" t="s">
        <v>234</v>
      </c>
      <c r="K9" s="4" t="s">
        <v>236</v>
      </c>
    </row>
    <row r="10" spans="1:11" x14ac:dyDescent="0.3">
      <c r="A10" t="s">
        <v>35</v>
      </c>
      <c r="B10" t="s">
        <v>122</v>
      </c>
      <c r="C10">
        <v>4478</v>
      </c>
      <c r="D10">
        <v>12258</v>
      </c>
      <c r="E10" s="2">
        <v>45176</v>
      </c>
      <c r="F10" t="s">
        <v>125</v>
      </c>
      <c r="H10" s="5" t="s">
        <v>116</v>
      </c>
      <c r="I10" s="4">
        <v>40685</v>
      </c>
      <c r="J10" s="4">
        <v>25329</v>
      </c>
      <c r="K10" s="6">
        <v>0.62256359837778052</v>
      </c>
    </row>
    <row r="11" spans="1:11" x14ac:dyDescent="0.3">
      <c r="A11" t="s">
        <v>35</v>
      </c>
      <c r="B11" t="s">
        <v>119</v>
      </c>
      <c r="C11">
        <v>3137</v>
      </c>
      <c r="D11">
        <v>10509</v>
      </c>
      <c r="E11" s="2">
        <v>44941</v>
      </c>
      <c r="F11" t="s">
        <v>125</v>
      </c>
      <c r="H11" s="5" t="s">
        <v>124</v>
      </c>
      <c r="I11" s="4">
        <v>55463</v>
      </c>
      <c r="J11" s="4">
        <v>27706</v>
      </c>
      <c r="K11" s="6">
        <v>0.49954023402989378</v>
      </c>
    </row>
    <row r="12" spans="1:11" x14ac:dyDescent="0.3">
      <c r="A12" t="s">
        <v>121</v>
      </c>
      <c r="B12" t="s">
        <v>124</v>
      </c>
      <c r="C12">
        <v>3272</v>
      </c>
      <c r="D12">
        <v>11154</v>
      </c>
      <c r="E12" s="2">
        <v>45191</v>
      </c>
      <c r="F12" t="s">
        <v>120</v>
      </c>
      <c r="H12" s="5" t="s">
        <v>122</v>
      </c>
      <c r="I12" s="4">
        <v>78735</v>
      </c>
      <c r="J12" s="4">
        <v>43952</v>
      </c>
      <c r="K12" s="6">
        <v>0.55822696386613324</v>
      </c>
    </row>
    <row r="13" spans="1:11" x14ac:dyDescent="0.3">
      <c r="A13" t="s">
        <v>35</v>
      </c>
      <c r="B13" t="s">
        <v>124</v>
      </c>
      <c r="C13">
        <v>7552</v>
      </c>
      <c r="D13">
        <v>5819</v>
      </c>
      <c r="E13" s="2">
        <v>45140</v>
      </c>
      <c r="F13" t="s">
        <v>123</v>
      </c>
      <c r="H13" s="5" t="s">
        <v>119</v>
      </c>
      <c r="I13" s="4">
        <v>116254</v>
      </c>
      <c r="J13" s="4">
        <v>57874</v>
      </c>
      <c r="K13" s="6">
        <v>0.49782373079635972</v>
      </c>
    </row>
    <row r="14" spans="1:11" x14ac:dyDescent="0.3">
      <c r="A14" t="s">
        <v>118</v>
      </c>
      <c r="B14" t="s">
        <v>119</v>
      </c>
      <c r="C14">
        <v>1399</v>
      </c>
      <c r="D14">
        <v>5098</v>
      </c>
      <c r="E14" s="2">
        <v>44980</v>
      </c>
      <c r="F14" t="s">
        <v>125</v>
      </c>
      <c r="H14" s="5" t="s">
        <v>177</v>
      </c>
      <c r="I14" s="4">
        <v>291137</v>
      </c>
      <c r="J14" s="4">
        <v>154861</v>
      </c>
      <c r="K14" s="6">
        <v>0.53191796302084582</v>
      </c>
    </row>
    <row r="15" spans="1:11" x14ac:dyDescent="0.3">
      <c r="A15" t="s">
        <v>35</v>
      </c>
      <c r="B15" t="s">
        <v>122</v>
      </c>
      <c r="C15">
        <v>9009</v>
      </c>
      <c r="D15">
        <v>8963</v>
      </c>
      <c r="E15" s="2">
        <v>45152</v>
      </c>
      <c r="F15" t="s">
        <v>120</v>
      </c>
    </row>
    <row r="16" spans="1:11" x14ac:dyDescent="0.3">
      <c r="A16" t="s">
        <v>35</v>
      </c>
      <c r="B16" t="s">
        <v>116</v>
      </c>
      <c r="C16">
        <v>8645</v>
      </c>
      <c r="D16">
        <v>8210</v>
      </c>
      <c r="E16" s="2">
        <v>45183</v>
      </c>
      <c r="F16" t="s">
        <v>117</v>
      </c>
      <c r="H16" s="3" t="s">
        <v>176</v>
      </c>
      <c r="I16" s="4" t="s">
        <v>234</v>
      </c>
    </row>
    <row r="17" spans="1:9" x14ac:dyDescent="0.3">
      <c r="A17" t="s">
        <v>126</v>
      </c>
      <c r="B17" t="s">
        <v>124</v>
      </c>
      <c r="C17">
        <v>2694</v>
      </c>
      <c r="D17">
        <v>7831</v>
      </c>
      <c r="E17" s="2">
        <v>45233</v>
      </c>
      <c r="F17" t="s">
        <v>123</v>
      </c>
      <c r="H17" s="5" t="s">
        <v>180</v>
      </c>
      <c r="I17" s="4">
        <v>3137</v>
      </c>
    </row>
    <row r="18" spans="1:9" x14ac:dyDescent="0.3">
      <c r="A18" t="s">
        <v>118</v>
      </c>
      <c r="B18" t="s">
        <v>124</v>
      </c>
      <c r="C18">
        <v>3568</v>
      </c>
      <c r="D18">
        <v>6065</v>
      </c>
      <c r="E18" s="2">
        <v>45128</v>
      </c>
      <c r="F18" t="s">
        <v>117</v>
      </c>
      <c r="H18" s="5" t="s">
        <v>181</v>
      </c>
      <c r="I18" s="4">
        <v>1399</v>
      </c>
    </row>
    <row r="19" spans="1:9" x14ac:dyDescent="0.3">
      <c r="A19" t="s">
        <v>121</v>
      </c>
      <c r="B19" t="s">
        <v>119</v>
      </c>
      <c r="C19">
        <v>7045</v>
      </c>
      <c r="D19">
        <v>14543</v>
      </c>
      <c r="E19" s="2">
        <v>45210</v>
      </c>
      <c r="F19" t="s">
        <v>123</v>
      </c>
      <c r="H19" s="5" t="s">
        <v>182</v>
      </c>
      <c r="I19" s="4">
        <v>2771</v>
      </c>
    </row>
    <row r="20" spans="1:9" x14ac:dyDescent="0.3">
      <c r="A20" t="s">
        <v>35</v>
      </c>
      <c r="B20" t="s">
        <v>116</v>
      </c>
      <c r="C20">
        <v>3754</v>
      </c>
      <c r="D20">
        <v>13533</v>
      </c>
      <c r="E20" s="2">
        <v>45041</v>
      </c>
      <c r="F20" t="s">
        <v>125</v>
      </c>
      <c r="H20" s="5" t="s">
        <v>183</v>
      </c>
      <c r="I20" s="4">
        <v>18690</v>
      </c>
    </row>
    <row r="21" spans="1:9" x14ac:dyDescent="0.3">
      <c r="A21" t="s">
        <v>118</v>
      </c>
      <c r="B21" t="s">
        <v>119</v>
      </c>
      <c r="C21">
        <v>6762</v>
      </c>
      <c r="D21">
        <v>5074</v>
      </c>
      <c r="E21" s="2">
        <v>45130</v>
      </c>
      <c r="F21" t="s">
        <v>125</v>
      </c>
      <c r="H21" s="5" t="s">
        <v>184</v>
      </c>
      <c r="I21" s="4">
        <v>7390</v>
      </c>
    </row>
    <row r="22" spans="1:9" x14ac:dyDescent="0.3">
      <c r="A22" t="s">
        <v>118</v>
      </c>
      <c r="B22" t="s">
        <v>119</v>
      </c>
      <c r="C22">
        <v>5297</v>
      </c>
      <c r="D22">
        <v>10525</v>
      </c>
      <c r="E22" s="2">
        <v>45158</v>
      </c>
      <c r="F22" t="s">
        <v>117</v>
      </c>
      <c r="H22" s="5" t="s">
        <v>185</v>
      </c>
      <c r="I22" s="4">
        <v>6608</v>
      </c>
    </row>
    <row r="23" spans="1:9" x14ac:dyDescent="0.3">
      <c r="A23" t="s">
        <v>126</v>
      </c>
      <c r="B23" t="s">
        <v>124</v>
      </c>
      <c r="C23">
        <v>3504</v>
      </c>
      <c r="D23">
        <v>5695</v>
      </c>
      <c r="E23" s="2">
        <v>45066</v>
      </c>
      <c r="F23" t="s">
        <v>125</v>
      </c>
      <c r="H23" s="5" t="s">
        <v>186</v>
      </c>
      <c r="I23" s="4">
        <v>40058</v>
      </c>
    </row>
    <row r="24" spans="1:9" x14ac:dyDescent="0.3">
      <c r="A24" t="s">
        <v>118</v>
      </c>
      <c r="B24" t="s">
        <v>122</v>
      </c>
      <c r="C24">
        <v>6705</v>
      </c>
      <c r="D24">
        <v>8911</v>
      </c>
      <c r="E24" s="2">
        <v>45177</v>
      </c>
      <c r="F24" t="s">
        <v>117</v>
      </c>
      <c r="H24" s="5" t="s">
        <v>187</v>
      </c>
      <c r="I24" s="4">
        <v>21858</v>
      </c>
    </row>
    <row r="25" spans="1:9" x14ac:dyDescent="0.3">
      <c r="A25" t="s">
        <v>126</v>
      </c>
      <c r="B25" t="s">
        <v>122</v>
      </c>
      <c r="C25">
        <v>5364</v>
      </c>
      <c r="D25">
        <v>8292</v>
      </c>
      <c r="E25" s="2">
        <v>45280</v>
      </c>
      <c r="F25" t="s">
        <v>125</v>
      </c>
      <c r="H25" s="5" t="s">
        <v>188</v>
      </c>
      <c r="I25" s="4">
        <v>23100</v>
      </c>
    </row>
    <row r="26" spans="1:9" x14ac:dyDescent="0.3">
      <c r="A26" t="s">
        <v>121</v>
      </c>
      <c r="B26" t="s">
        <v>119</v>
      </c>
      <c r="C26">
        <v>2771</v>
      </c>
      <c r="D26">
        <v>14172</v>
      </c>
      <c r="E26" s="2">
        <v>45003</v>
      </c>
      <c r="F26" t="s">
        <v>120</v>
      </c>
      <c r="H26" s="5" t="s">
        <v>189</v>
      </c>
      <c r="I26" s="4">
        <v>7045</v>
      </c>
    </row>
    <row r="27" spans="1:9" x14ac:dyDescent="0.3">
      <c r="A27" t="s">
        <v>118</v>
      </c>
      <c r="B27" t="s">
        <v>122</v>
      </c>
      <c r="C27">
        <v>3886</v>
      </c>
      <c r="D27">
        <v>5220</v>
      </c>
      <c r="E27" s="2">
        <v>45063</v>
      </c>
      <c r="F27" t="s">
        <v>120</v>
      </c>
      <c r="H27" s="5" t="s">
        <v>190</v>
      </c>
      <c r="I27" s="4">
        <v>12382</v>
      </c>
    </row>
    <row r="28" spans="1:9" x14ac:dyDescent="0.3">
      <c r="A28" t="s">
        <v>118</v>
      </c>
      <c r="B28" t="s">
        <v>119</v>
      </c>
      <c r="C28">
        <v>7567</v>
      </c>
      <c r="D28">
        <v>13183</v>
      </c>
      <c r="E28" s="2">
        <v>45259</v>
      </c>
      <c r="F28" t="s">
        <v>117</v>
      </c>
      <c r="H28" s="5" t="s">
        <v>191</v>
      </c>
      <c r="I28" s="4">
        <v>10423</v>
      </c>
    </row>
    <row r="29" spans="1:9" x14ac:dyDescent="0.3">
      <c r="A29" t="s">
        <v>35</v>
      </c>
      <c r="B29" t="s">
        <v>119</v>
      </c>
      <c r="C29">
        <v>4229</v>
      </c>
      <c r="D29">
        <v>7593</v>
      </c>
      <c r="E29" s="2">
        <v>45118</v>
      </c>
      <c r="F29" t="s">
        <v>125</v>
      </c>
      <c r="H29" s="5" t="s">
        <v>177</v>
      </c>
      <c r="I29" s="4">
        <v>154861</v>
      </c>
    </row>
    <row r="30" spans="1:9" x14ac:dyDescent="0.3">
      <c r="A30" t="s">
        <v>35</v>
      </c>
      <c r="B30" t="s">
        <v>122</v>
      </c>
      <c r="C30">
        <v>3656</v>
      </c>
      <c r="D30">
        <v>14541</v>
      </c>
      <c r="E30" s="2">
        <v>45277</v>
      </c>
      <c r="F30" t="s">
        <v>120</v>
      </c>
    </row>
    <row r="31" spans="1:9" x14ac:dyDescent="0.3">
      <c r="A31" t="s">
        <v>121</v>
      </c>
      <c r="B31" t="s">
        <v>119</v>
      </c>
      <c r="C31">
        <v>8425</v>
      </c>
      <c r="D31">
        <v>12388</v>
      </c>
      <c r="E31" s="2">
        <v>45120</v>
      </c>
      <c r="F31" t="s">
        <v>120</v>
      </c>
    </row>
    <row r="33" spans="8:9" x14ac:dyDescent="0.3">
      <c r="H33" s="3" t="s">
        <v>237</v>
      </c>
      <c r="I33" s="4" t="s">
        <v>234</v>
      </c>
    </row>
    <row r="34" spans="8:9" x14ac:dyDescent="0.3">
      <c r="H34" s="5" t="s">
        <v>120</v>
      </c>
      <c r="I34" s="4">
        <v>44382</v>
      </c>
    </row>
    <row r="35" spans="8:9" x14ac:dyDescent="0.3">
      <c r="H35" s="5" t="s">
        <v>125</v>
      </c>
      <c r="I35" s="4">
        <v>41850</v>
      </c>
    </row>
    <row r="36" spans="8:9" x14ac:dyDescent="0.3">
      <c r="H36" s="5" t="s">
        <v>117</v>
      </c>
      <c r="I36" s="4">
        <v>42605</v>
      </c>
    </row>
    <row r="37" spans="8:9" x14ac:dyDescent="0.3">
      <c r="H37" s="5" t="s">
        <v>123</v>
      </c>
      <c r="I37" s="4">
        <v>26024</v>
      </c>
    </row>
    <row r="38" spans="8:9" x14ac:dyDescent="0.3">
      <c r="H38" s="5" t="s">
        <v>177</v>
      </c>
      <c r="I38" s="4">
        <v>154861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"/>
  <sheetViews>
    <sheetView tabSelected="1" workbookViewId="0">
      <selection activeCell="B2" sqref="B2"/>
    </sheetView>
  </sheetViews>
  <sheetFormatPr defaultRowHeight="14.4" x14ac:dyDescent="0.3"/>
  <cols>
    <col min="1" max="1" width="11.109375" bestFit="1" customWidth="1"/>
    <col min="2" max="2" width="31.44140625" bestFit="1" customWidth="1"/>
    <col min="3" max="3" width="10.33203125" bestFit="1" customWidth="1"/>
    <col min="4" max="4" width="12.109375" bestFit="1" customWidth="1"/>
    <col min="5" max="5" width="11.109375" bestFit="1" customWidth="1"/>
    <col min="6" max="6" width="11" bestFit="1" customWidth="1"/>
    <col min="7" max="7" width="13.5546875" bestFit="1" customWidth="1"/>
    <col min="8" max="8" width="21.6640625" bestFit="1" customWidth="1"/>
    <col min="10" max="10" width="16.88671875" bestFit="1" customWidth="1"/>
    <col min="11" max="11" width="15.77734375" bestFit="1" customWidth="1"/>
    <col min="12" max="12" width="8" bestFit="1" customWidth="1"/>
    <col min="13" max="13" width="10.77734375" bestFit="1" customWidth="1"/>
  </cols>
  <sheetData>
    <row r="1" spans="1:13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3</v>
      </c>
      <c r="F1" s="1" t="s">
        <v>131</v>
      </c>
      <c r="G1" s="1" t="s">
        <v>132</v>
      </c>
      <c r="H1" s="1" t="s">
        <v>133</v>
      </c>
    </row>
    <row r="2" spans="1:13" x14ac:dyDescent="0.3">
      <c r="A2" t="s">
        <v>134</v>
      </c>
      <c r="B2" t="s">
        <v>135</v>
      </c>
      <c r="C2" s="2">
        <v>45049</v>
      </c>
      <c r="D2" s="2">
        <v>45056</v>
      </c>
      <c r="E2" t="s">
        <v>136</v>
      </c>
      <c r="F2">
        <v>6604</v>
      </c>
      <c r="G2" t="s">
        <v>137</v>
      </c>
      <c r="H2">
        <v>7</v>
      </c>
      <c r="J2" s="3" t="s">
        <v>238</v>
      </c>
      <c r="K2" s="3" t="s">
        <v>132</v>
      </c>
      <c r="L2" s="4"/>
      <c r="M2" s="4"/>
    </row>
    <row r="3" spans="1:13" x14ac:dyDescent="0.3">
      <c r="A3" t="s">
        <v>138</v>
      </c>
      <c r="B3" t="s">
        <v>135</v>
      </c>
      <c r="C3" s="2">
        <v>45065</v>
      </c>
      <c r="D3" s="2">
        <v>45066</v>
      </c>
      <c r="E3" t="s">
        <v>139</v>
      </c>
      <c r="F3">
        <v>32671</v>
      </c>
      <c r="G3" t="s">
        <v>137</v>
      </c>
      <c r="H3">
        <v>1</v>
      </c>
      <c r="J3" s="3" t="s">
        <v>128</v>
      </c>
      <c r="K3" s="4" t="s">
        <v>146</v>
      </c>
      <c r="L3" s="4" t="s">
        <v>137</v>
      </c>
      <c r="M3" s="4" t="s">
        <v>177</v>
      </c>
    </row>
    <row r="4" spans="1:13" x14ac:dyDescent="0.3">
      <c r="A4" t="s">
        <v>140</v>
      </c>
      <c r="B4" t="s">
        <v>141</v>
      </c>
      <c r="C4" s="2">
        <v>44977</v>
      </c>
      <c r="D4" s="2">
        <v>44983</v>
      </c>
      <c r="E4" t="s">
        <v>139</v>
      </c>
      <c r="F4">
        <v>38799</v>
      </c>
      <c r="G4" t="s">
        <v>137</v>
      </c>
      <c r="H4">
        <v>6</v>
      </c>
      <c r="J4" s="5" t="s">
        <v>135</v>
      </c>
      <c r="K4" s="7"/>
      <c r="L4" s="7">
        <v>5</v>
      </c>
      <c r="M4" s="7">
        <v>5</v>
      </c>
    </row>
    <row r="5" spans="1:13" x14ac:dyDescent="0.3">
      <c r="A5" t="s">
        <v>142</v>
      </c>
      <c r="B5" t="s">
        <v>143</v>
      </c>
      <c r="C5" s="2">
        <v>45200</v>
      </c>
      <c r="D5" s="2">
        <v>45203</v>
      </c>
      <c r="E5" t="s">
        <v>144</v>
      </c>
      <c r="F5">
        <v>40016</v>
      </c>
      <c r="G5" t="s">
        <v>137</v>
      </c>
      <c r="H5">
        <v>3</v>
      </c>
      <c r="J5" s="5" t="s">
        <v>159</v>
      </c>
      <c r="K5" s="7">
        <v>3</v>
      </c>
      <c r="L5" s="7">
        <v>2</v>
      </c>
      <c r="M5" s="7">
        <v>5</v>
      </c>
    </row>
    <row r="6" spans="1:13" x14ac:dyDescent="0.3">
      <c r="A6" t="s">
        <v>145</v>
      </c>
      <c r="B6" t="s">
        <v>143</v>
      </c>
      <c r="C6" s="2">
        <v>45223</v>
      </c>
      <c r="D6" s="2">
        <v>45233</v>
      </c>
      <c r="E6" t="s">
        <v>139</v>
      </c>
      <c r="F6">
        <v>15591</v>
      </c>
      <c r="G6" t="s">
        <v>146</v>
      </c>
      <c r="H6">
        <v>10</v>
      </c>
      <c r="J6" s="5" t="s">
        <v>143</v>
      </c>
      <c r="K6" s="7">
        <v>6</v>
      </c>
      <c r="L6" s="7">
        <v>3</v>
      </c>
      <c r="M6" s="7">
        <v>9</v>
      </c>
    </row>
    <row r="7" spans="1:13" x14ac:dyDescent="0.3">
      <c r="A7" t="s">
        <v>147</v>
      </c>
      <c r="B7" t="s">
        <v>148</v>
      </c>
      <c r="C7" s="2">
        <v>45238</v>
      </c>
      <c r="D7" s="2">
        <v>45243</v>
      </c>
      <c r="E7" t="s">
        <v>149</v>
      </c>
      <c r="F7">
        <v>6929</v>
      </c>
      <c r="G7" t="s">
        <v>146</v>
      </c>
      <c r="H7">
        <v>5</v>
      </c>
      <c r="J7" s="5" t="s">
        <v>148</v>
      </c>
      <c r="K7" s="7">
        <v>1</v>
      </c>
      <c r="L7" s="7">
        <v>3</v>
      </c>
      <c r="M7" s="7">
        <v>4</v>
      </c>
    </row>
    <row r="8" spans="1:13" x14ac:dyDescent="0.3">
      <c r="A8" t="s">
        <v>150</v>
      </c>
      <c r="B8" t="s">
        <v>141</v>
      </c>
      <c r="C8" s="2">
        <v>45111</v>
      </c>
      <c r="D8" s="2">
        <v>45120</v>
      </c>
      <c r="E8" t="s">
        <v>139</v>
      </c>
      <c r="F8">
        <v>32236</v>
      </c>
      <c r="G8" t="s">
        <v>137</v>
      </c>
      <c r="H8">
        <v>9</v>
      </c>
      <c r="J8" s="5" t="s">
        <v>141</v>
      </c>
      <c r="K8" s="7">
        <v>3</v>
      </c>
      <c r="L8" s="7">
        <v>4</v>
      </c>
      <c r="M8" s="7">
        <v>7</v>
      </c>
    </row>
    <row r="9" spans="1:13" x14ac:dyDescent="0.3">
      <c r="A9" t="s">
        <v>151</v>
      </c>
      <c r="B9" t="s">
        <v>141</v>
      </c>
      <c r="C9" s="2">
        <v>45143</v>
      </c>
      <c r="D9" s="2">
        <v>45153</v>
      </c>
      <c r="E9" t="s">
        <v>136</v>
      </c>
      <c r="F9">
        <v>7082</v>
      </c>
      <c r="G9" t="s">
        <v>137</v>
      </c>
      <c r="H9">
        <v>10</v>
      </c>
      <c r="J9" s="5" t="s">
        <v>177</v>
      </c>
      <c r="K9" s="7">
        <v>13</v>
      </c>
      <c r="L9" s="7">
        <v>17</v>
      </c>
      <c r="M9" s="7">
        <v>30</v>
      </c>
    </row>
    <row r="10" spans="1:13" x14ac:dyDescent="0.3">
      <c r="A10" t="s">
        <v>152</v>
      </c>
      <c r="B10" t="s">
        <v>148</v>
      </c>
      <c r="C10" s="2">
        <v>45125</v>
      </c>
      <c r="D10" s="2">
        <v>45132</v>
      </c>
      <c r="E10" t="s">
        <v>136</v>
      </c>
      <c r="F10">
        <v>40232</v>
      </c>
      <c r="G10" t="s">
        <v>137</v>
      </c>
      <c r="H10">
        <v>7</v>
      </c>
    </row>
    <row r="11" spans="1:13" x14ac:dyDescent="0.3">
      <c r="A11" t="s">
        <v>153</v>
      </c>
      <c r="B11" t="s">
        <v>135</v>
      </c>
      <c r="C11" s="2">
        <v>45199</v>
      </c>
      <c r="D11" s="2">
        <v>45206</v>
      </c>
      <c r="E11" t="s">
        <v>144</v>
      </c>
      <c r="F11">
        <v>34502</v>
      </c>
      <c r="G11" t="s">
        <v>137</v>
      </c>
      <c r="H11">
        <v>7</v>
      </c>
      <c r="J11" s="3" t="s">
        <v>129</v>
      </c>
      <c r="K11" s="4" t="s">
        <v>238</v>
      </c>
      <c r="L11" s="4" t="s">
        <v>239</v>
      </c>
    </row>
    <row r="12" spans="1:13" x14ac:dyDescent="0.3">
      <c r="A12" t="s">
        <v>154</v>
      </c>
      <c r="B12" t="s">
        <v>141</v>
      </c>
      <c r="C12" s="2">
        <v>45068</v>
      </c>
      <c r="D12" s="2">
        <v>45070</v>
      </c>
      <c r="E12" t="s">
        <v>149</v>
      </c>
      <c r="F12">
        <v>22818</v>
      </c>
      <c r="G12" t="s">
        <v>146</v>
      </c>
      <c r="H12">
        <v>2</v>
      </c>
      <c r="J12" s="8" t="s">
        <v>201</v>
      </c>
      <c r="K12" s="7">
        <v>30</v>
      </c>
      <c r="L12" s="7">
        <v>785541</v>
      </c>
    </row>
    <row r="13" spans="1:13" x14ac:dyDescent="0.3">
      <c r="A13" t="s">
        <v>155</v>
      </c>
      <c r="B13" t="s">
        <v>143</v>
      </c>
      <c r="C13" s="2">
        <v>45207</v>
      </c>
      <c r="D13" s="2">
        <v>45217</v>
      </c>
      <c r="E13" t="s">
        <v>144</v>
      </c>
      <c r="F13">
        <v>45236</v>
      </c>
      <c r="G13" t="s">
        <v>146</v>
      </c>
      <c r="H13">
        <v>10</v>
      </c>
      <c r="J13" s="9" t="s">
        <v>181</v>
      </c>
      <c r="K13" s="7">
        <v>3</v>
      </c>
      <c r="L13" s="7">
        <v>91056</v>
      </c>
    </row>
    <row r="14" spans="1:13" x14ac:dyDescent="0.3">
      <c r="A14" t="s">
        <v>156</v>
      </c>
      <c r="B14" t="s">
        <v>148</v>
      </c>
      <c r="C14" s="2">
        <v>45130</v>
      </c>
      <c r="D14" s="2">
        <v>45137</v>
      </c>
      <c r="E14" t="s">
        <v>149</v>
      </c>
      <c r="F14">
        <v>47188</v>
      </c>
      <c r="G14" t="s">
        <v>137</v>
      </c>
      <c r="H14">
        <v>7</v>
      </c>
      <c r="J14" s="9" t="s">
        <v>182</v>
      </c>
      <c r="K14" s="7">
        <v>1</v>
      </c>
      <c r="L14" s="7">
        <v>14341</v>
      </c>
    </row>
    <row r="15" spans="1:13" x14ac:dyDescent="0.3">
      <c r="A15" t="s">
        <v>157</v>
      </c>
      <c r="B15" t="s">
        <v>143</v>
      </c>
      <c r="C15" s="2">
        <v>45182</v>
      </c>
      <c r="D15" s="2">
        <v>45188</v>
      </c>
      <c r="E15" t="s">
        <v>149</v>
      </c>
      <c r="F15">
        <v>40135</v>
      </c>
      <c r="G15" t="s">
        <v>146</v>
      </c>
      <c r="H15">
        <v>6</v>
      </c>
      <c r="J15" s="9" t="s">
        <v>183</v>
      </c>
      <c r="K15" s="7">
        <v>1</v>
      </c>
      <c r="L15" s="7">
        <v>43861</v>
      </c>
    </row>
    <row r="16" spans="1:13" x14ac:dyDescent="0.3">
      <c r="A16" t="s">
        <v>158</v>
      </c>
      <c r="B16" t="s">
        <v>159</v>
      </c>
      <c r="C16" s="2">
        <v>45218</v>
      </c>
      <c r="D16" s="2">
        <v>45221</v>
      </c>
      <c r="E16" t="s">
        <v>139</v>
      </c>
      <c r="F16">
        <v>36682</v>
      </c>
      <c r="G16" t="s">
        <v>146</v>
      </c>
      <c r="H16">
        <v>3</v>
      </c>
      <c r="J16" s="9" t="s">
        <v>184</v>
      </c>
      <c r="K16" s="7">
        <v>5</v>
      </c>
      <c r="L16" s="7">
        <v>115886</v>
      </c>
    </row>
    <row r="17" spans="1:12" x14ac:dyDescent="0.3">
      <c r="A17" t="s">
        <v>160</v>
      </c>
      <c r="B17" t="s">
        <v>143</v>
      </c>
      <c r="C17" s="2">
        <v>45006</v>
      </c>
      <c r="D17" s="2">
        <v>45013</v>
      </c>
      <c r="E17" t="s">
        <v>136</v>
      </c>
      <c r="F17">
        <v>14341</v>
      </c>
      <c r="G17" t="s">
        <v>146</v>
      </c>
      <c r="H17">
        <v>7</v>
      </c>
      <c r="J17" s="9" t="s">
        <v>185</v>
      </c>
      <c r="K17" s="7">
        <v>2</v>
      </c>
      <c r="L17" s="7">
        <v>45803</v>
      </c>
    </row>
    <row r="18" spans="1:12" x14ac:dyDescent="0.3">
      <c r="A18" t="s">
        <v>161</v>
      </c>
      <c r="B18" t="s">
        <v>159</v>
      </c>
      <c r="C18" s="2">
        <v>45135</v>
      </c>
      <c r="D18" s="2">
        <v>45141</v>
      </c>
      <c r="E18" t="s">
        <v>149</v>
      </c>
      <c r="F18">
        <v>20862</v>
      </c>
      <c r="G18" t="s">
        <v>146</v>
      </c>
      <c r="H18">
        <v>6</v>
      </c>
      <c r="J18" s="9" t="s">
        <v>186</v>
      </c>
      <c r="K18" s="7">
        <v>4</v>
      </c>
      <c r="L18" s="7">
        <v>140518</v>
      </c>
    </row>
    <row r="19" spans="1:12" x14ac:dyDescent="0.3">
      <c r="A19" t="s">
        <v>162</v>
      </c>
      <c r="B19" t="s">
        <v>143</v>
      </c>
      <c r="C19" s="2">
        <v>44958</v>
      </c>
      <c r="D19" s="2">
        <v>44959</v>
      </c>
      <c r="E19" t="s">
        <v>139</v>
      </c>
      <c r="F19">
        <v>46396</v>
      </c>
      <c r="G19" t="s">
        <v>137</v>
      </c>
      <c r="H19">
        <v>1</v>
      </c>
      <c r="J19" s="9" t="s">
        <v>187</v>
      </c>
      <c r="K19" s="7">
        <v>2</v>
      </c>
      <c r="L19" s="7">
        <v>15431</v>
      </c>
    </row>
    <row r="20" spans="1:12" x14ac:dyDescent="0.3">
      <c r="A20" t="s">
        <v>163</v>
      </c>
      <c r="B20" t="s">
        <v>141</v>
      </c>
      <c r="C20" s="2">
        <v>45196</v>
      </c>
      <c r="D20" s="2">
        <v>45197</v>
      </c>
      <c r="E20" t="s">
        <v>139</v>
      </c>
      <c r="F20">
        <v>13146</v>
      </c>
      <c r="G20" t="s">
        <v>146</v>
      </c>
      <c r="H20">
        <v>1</v>
      </c>
      <c r="J20" s="9" t="s">
        <v>188</v>
      </c>
      <c r="K20" s="7">
        <v>3</v>
      </c>
      <c r="L20" s="7">
        <v>87783</v>
      </c>
    </row>
    <row r="21" spans="1:12" x14ac:dyDescent="0.3">
      <c r="A21" t="s">
        <v>164</v>
      </c>
      <c r="B21" t="s">
        <v>159</v>
      </c>
      <c r="C21" s="2">
        <v>45253</v>
      </c>
      <c r="D21" s="2">
        <v>45261</v>
      </c>
      <c r="E21" t="s">
        <v>136</v>
      </c>
      <c r="F21">
        <v>30201</v>
      </c>
      <c r="G21" t="s">
        <v>137</v>
      </c>
      <c r="H21">
        <v>8</v>
      </c>
      <c r="J21" s="9" t="s">
        <v>189</v>
      </c>
      <c r="K21" s="7">
        <v>5</v>
      </c>
      <c r="L21" s="7">
        <v>150393</v>
      </c>
    </row>
    <row r="22" spans="1:12" x14ac:dyDescent="0.3">
      <c r="A22" t="s">
        <v>165</v>
      </c>
      <c r="B22" t="s">
        <v>159</v>
      </c>
      <c r="C22" s="2">
        <v>45090</v>
      </c>
      <c r="D22" s="2">
        <v>45096</v>
      </c>
      <c r="E22" t="s">
        <v>139</v>
      </c>
      <c r="F22">
        <v>14442</v>
      </c>
      <c r="G22" t="s">
        <v>146</v>
      </c>
      <c r="H22">
        <v>6</v>
      </c>
      <c r="J22" s="9" t="s">
        <v>190</v>
      </c>
      <c r="K22" s="7">
        <v>4</v>
      </c>
      <c r="L22" s="7">
        <v>80469</v>
      </c>
    </row>
    <row r="23" spans="1:12" x14ac:dyDescent="0.3">
      <c r="A23" t="s">
        <v>166</v>
      </c>
      <c r="B23" t="s">
        <v>135</v>
      </c>
      <c r="C23" s="2">
        <v>45039</v>
      </c>
      <c r="D23" s="2">
        <v>45049</v>
      </c>
      <c r="E23" t="s">
        <v>136</v>
      </c>
      <c r="F23">
        <v>43861</v>
      </c>
      <c r="G23" t="s">
        <v>137</v>
      </c>
      <c r="H23">
        <v>10</v>
      </c>
      <c r="J23" s="8" t="s">
        <v>177</v>
      </c>
      <c r="K23" s="7">
        <v>30</v>
      </c>
      <c r="L23" s="7">
        <v>785541</v>
      </c>
    </row>
    <row r="24" spans="1:12" x14ac:dyDescent="0.3">
      <c r="A24" t="s">
        <v>167</v>
      </c>
      <c r="B24" t="s">
        <v>143</v>
      </c>
      <c r="C24" s="2">
        <v>45141</v>
      </c>
      <c r="D24" s="2">
        <v>45148</v>
      </c>
      <c r="E24" t="s">
        <v>139</v>
      </c>
      <c r="F24">
        <v>8349</v>
      </c>
      <c r="G24" t="s">
        <v>146</v>
      </c>
      <c r="H24">
        <v>7</v>
      </c>
    </row>
    <row r="25" spans="1:12" x14ac:dyDescent="0.3">
      <c r="A25" t="s">
        <v>168</v>
      </c>
      <c r="B25" t="s">
        <v>141</v>
      </c>
      <c r="C25" s="2">
        <v>45071</v>
      </c>
      <c r="D25" s="2">
        <v>45072</v>
      </c>
      <c r="E25" t="s">
        <v>144</v>
      </c>
      <c r="F25">
        <v>5730</v>
      </c>
      <c r="G25" t="s">
        <v>137</v>
      </c>
      <c r="H25">
        <v>1</v>
      </c>
    </row>
    <row r="26" spans="1:12" x14ac:dyDescent="0.3">
      <c r="A26" t="s">
        <v>169</v>
      </c>
      <c r="B26" t="s">
        <v>143</v>
      </c>
      <c r="C26" s="2">
        <v>45050</v>
      </c>
      <c r="D26" s="2">
        <v>45057</v>
      </c>
      <c r="E26" t="s">
        <v>136</v>
      </c>
      <c r="F26">
        <v>48063</v>
      </c>
      <c r="G26" t="s">
        <v>146</v>
      </c>
      <c r="H26">
        <v>7</v>
      </c>
    </row>
    <row r="27" spans="1:12" x14ac:dyDescent="0.3">
      <c r="A27" t="s">
        <v>170</v>
      </c>
      <c r="B27" t="s">
        <v>135</v>
      </c>
      <c r="C27" s="2">
        <v>45211</v>
      </c>
      <c r="D27" s="2">
        <v>45213</v>
      </c>
      <c r="E27" t="s">
        <v>136</v>
      </c>
      <c r="F27">
        <v>12868</v>
      </c>
      <c r="G27" t="s">
        <v>137</v>
      </c>
      <c r="H27">
        <v>2</v>
      </c>
    </row>
    <row r="28" spans="1:12" x14ac:dyDescent="0.3">
      <c r="A28" t="s">
        <v>171</v>
      </c>
      <c r="B28" t="s">
        <v>148</v>
      </c>
      <c r="C28" s="2">
        <v>45081</v>
      </c>
      <c r="D28" s="2">
        <v>45090</v>
      </c>
      <c r="E28" t="s">
        <v>139</v>
      </c>
      <c r="F28">
        <v>31361</v>
      </c>
      <c r="G28" t="s">
        <v>137</v>
      </c>
      <c r="H28">
        <v>9</v>
      </c>
    </row>
    <row r="29" spans="1:12" x14ac:dyDescent="0.3">
      <c r="A29" t="s">
        <v>172</v>
      </c>
      <c r="B29" t="s">
        <v>141</v>
      </c>
      <c r="C29" s="2">
        <v>44982</v>
      </c>
      <c r="D29" s="2">
        <v>44988</v>
      </c>
      <c r="E29" t="s">
        <v>136</v>
      </c>
      <c r="F29">
        <v>5861</v>
      </c>
      <c r="G29" t="s">
        <v>146</v>
      </c>
      <c r="H29">
        <v>6</v>
      </c>
    </row>
    <row r="30" spans="1:12" x14ac:dyDescent="0.3">
      <c r="A30" t="s">
        <v>173</v>
      </c>
      <c r="B30" t="s">
        <v>159</v>
      </c>
      <c r="C30" s="2">
        <v>45236</v>
      </c>
      <c r="D30" s="2">
        <v>45245</v>
      </c>
      <c r="E30" t="s">
        <v>149</v>
      </c>
      <c r="F30">
        <v>30084</v>
      </c>
      <c r="G30" t="s">
        <v>137</v>
      </c>
      <c r="H30">
        <v>9</v>
      </c>
    </row>
    <row r="31" spans="1:12" x14ac:dyDescent="0.3">
      <c r="A31" t="s">
        <v>174</v>
      </c>
      <c r="B31" t="s">
        <v>143</v>
      </c>
      <c r="C31" s="2">
        <v>45250</v>
      </c>
      <c r="D31" s="2">
        <v>45253</v>
      </c>
      <c r="E31" t="s">
        <v>149</v>
      </c>
      <c r="F31">
        <v>13255</v>
      </c>
      <c r="G31" t="s">
        <v>137</v>
      </c>
      <c r="H31">
        <v>3</v>
      </c>
    </row>
    <row r="33" spans="1:8" x14ac:dyDescent="0.3">
      <c r="D33" s="10"/>
      <c r="E33" s="10"/>
    </row>
    <row r="34" spans="1:8" x14ac:dyDescent="0.3">
      <c r="A34" s="3" t="s">
        <v>3</v>
      </c>
      <c r="B34" s="4" t="s">
        <v>240</v>
      </c>
      <c r="G34" s="3" t="s">
        <v>132</v>
      </c>
      <c r="H34" s="4" t="s">
        <v>146</v>
      </c>
    </row>
    <row r="35" spans="1:8" x14ac:dyDescent="0.3">
      <c r="A35" s="5" t="s">
        <v>139</v>
      </c>
      <c r="B35" s="7">
        <v>5.3</v>
      </c>
      <c r="G35" s="4"/>
      <c r="H35" s="4"/>
    </row>
    <row r="36" spans="1:8" x14ac:dyDescent="0.3">
      <c r="A36" s="5" t="s">
        <v>149</v>
      </c>
      <c r="B36" s="7">
        <v>5.4285714285714288</v>
      </c>
      <c r="G36" s="3" t="s">
        <v>241</v>
      </c>
      <c r="H36" s="4" t="s">
        <v>238</v>
      </c>
    </row>
    <row r="37" spans="1:8" x14ac:dyDescent="0.3">
      <c r="A37" s="5" t="s">
        <v>144</v>
      </c>
      <c r="B37" s="7">
        <v>5.25</v>
      </c>
      <c r="G37" s="5" t="s">
        <v>159</v>
      </c>
      <c r="H37" s="7">
        <v>3</v>
      </c>
    </row>
    <row r="38" spans="1:8" x14ac:dyDescent="0.3">
      <c r="A38" s="5" t="s">
        <v>136</v>
      </c>
      <c r="B38" s="7">
        <v>7.1111111111111107</v>
      </c>
      <c r="G38" s="5" t="s">
        <v>143</v>
      </c>
      <c r="H38" s="7">
        <v>6</v>
      </c>
    </row>
    <row r="39" spans="1:8" x14ac:dyDescent="0.3">
      <c r="A39" s="5" t="s">
        <v>177</v>
      </c>
      <c r="B39" s="7">
        <v>5.8666666666666663</v>
      </c>
      <c r="G39" s="5" t="s">
        <v>148</v>
      </c>
      <c r="H39" s="7">
        <v>1</v>
      </c>
    </row>
    <row r="40" spans="1:8" x14ac:dyDescent="0.3">
      <c r="G40" s="5" t="s">
        <v>141</v>
      </c>
      <c r="H40" s="7">
        <v>3</v>
      </c>
    </row>
    <row r="41" spans="1:8" x14ac:dyDescent="0.3">
      <c r="G41" s="5" t="s">
        <v>177</v>
      </c>
      <c r="H41" s="7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Analysis</vt:lpstr>
      <vt:lpstr>HR Attrition</vt:lpstr>
      <vt:lpstr>Inventory</vt:lpstr>
      <vt:lpstr>Expense Tracking</vt:lpstr>
      <vt:lpstr>Customer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Poonia</cp:lastModifiedBy>
  <dcterms:created xsi:type="dcterms:W3CDTF">2025-08-04T18:34:22Z</dcterms:created>
  <dcterms:modified xsi:type="dcterms:W3CDTF">2026-01-06T05:11:58Z</dcterms:modified>
</cp:coreProperties>
</file>