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2" documentId="8_{ADF323DE-73A1-4D8E-BF0C-F7E309E0C5F5}" xr6:coauthVersionLast="47" xr6:coauthVersionMax="47" xr10:uidLastSave="{CB77B7A6-65AF-4BEE-B3DB-0DDEF860A391}"/>
  <bookViews>
    <workbookView xWindow="0" yWindow="0" windowWidth="23040" windowHeight="12240" activeTab="2" xr2:uid="{77BD751F-6218-4B49-856A-1A43A72ED24F}"/>
  </bookViews>
  <sheets>
    <sheet name="eating_out_habits_raw data" sheetId="2" r:id="rId1"/>
    <sheet name="cleaned_data" sheetId="3" r:id="rId2"/>
    <sheet name="Analyse" sheetId="4" r:id="rId3"/>
    <sheet name="charts" sheetId="1" r:id="rId4"/>
  </sheets>
  <definedNames>
    <definedName name="_xlcn.WorksheetConnection_aassign4.xlsxcleaned_data1" hidden="1">cleaned_data[]</definedName>
    <definedName name="ExternalData_1" localSheetId="1" hidden="1">'cleaned_data'!$A$1:$J$28</definedName>
    <definedName name="ExternalData_1" localSheetId="0" hidden="1">'eating_out_habits_raw data'!$A$1:$J$31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data" name="cleaned_data" connection="WorksheetConnection_aassign 4.xlsx!cleaned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B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3B38D-93CF-4CE3-984C-FBA788809FAA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FBD03FE1-9F97-494F-8B7A-D858D4AC388C}" keepAlive="1" name="Query - eating_out_habits_raw data" description="Connection to the 'eating_out_habits_raw data' query in the workbook." type="5" refreshedVersion="8" background="1" saveData="1">
    <dbPr connection="Provider=Microsoft.Mashup.OleDb.1;Data Source=$Workbook$;Location=&quot;eating_out_habits_raw data&quot;;Extended Properties=&quot;&quot;" command="SELECT * FROM [eating_out_habits_raw data]"/>
  </connection>
  <connection id="3" xr16:uid="{993ED0AF-3CF6-4B47-8271-4B8D4DE09C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812B35D-C858-4AC4-BD51-1CC9CAF8A57B}" name="WorksheetConnection_aassign 4.xlsx!cleaned_data" type="102" refreshedVersion="8" minRefreshableVersion="5">
    <extLst>
      <ext xmlns:x15="http://schemas.microsoft.com/office/spreadsheetml/2010/11/main" uri="{DE250136-89BD-433C-8126-D09CA5730AF9}">
        <x15:connection id="cleaned_data" autoDelete="1">
          <x15:rangePr sourceName="_xlcn.WorksheetConnection_aassign4.xlsxcleaned_data1"/>
        </x15:connection>
      </ext>
    </extLst>
  </connection>
</connections>
</file>

<file path=xl/sharedStrings.xml><?xml version="1.0" encoding="utf-8"?>
<sst xmlns="http://schemas.openxmlformats.org/spreadsheetml/2006/main" count="428" uniqueCount="144">
  <si>
    <t>Respondent_ID</t>
  </si>
  <si>
    <t>Age_Group</t>
  </si>
  <si>
    <t>Profession</t>
  </si>
  <si>
    <t>Dietary_Preference</t>
  </si>
  <si>
    <t>Eating_Out_Frequency</t>
  </si>
  <si>
    <t>Food_Type_Consumed</t>
  </si>
  <si>
    <t>Preferred_Source</t>
  </si>
  <si>
    <t>Health_Concern</t>
  </si>
  <si>
    <t>Monthly_Spending</t>
  </si>
  <si>
    <t>Homemade_vs_Outside</t>
  </si>
  <si>
    <t>18-25</t>
  </si>
  <si>
    <t>Student</t>
  </si>
  <si>
    <t>Vegetarian</t>
  </si>
  <si>
    <t>3-4 times/week</t>
  </si>
  <si>
    <t>Fast food &amp; snacks</t>
  </si>
  <si>
    <t>Food Apps</t>
  </si>
  <si>
    <t>Weight gain</t>
  </si>
  <si>
    <t>Prefer outside</t>
  </si>
  <si>
    <t>Non-Vegetarian</t>
  </si>
  <si>
    <t>Daily</t>
  </si>
  <si>
    <t>Fast food</t>
  </si>
  <si>
    <t>Restaurants</t>
  </si>
  <si>
    <t>Digestion issues</t>
  </si>
  <si>
    <t>4500</t>
  </si>
  <si>
    <t>Outside food</t>
  </si>
  <si>
    <t>26-35</t>
  </si>
  <si>
    <t>Eggetarian</t>
  </si>
  <si>
    <t>1-2 times/week</t>
  </si>
  <si>
    <t>Cafes</t>
  </si>
  <si>
    <t>None</t>
  </si>
  <si>
    <t>Balanced</t>
  </si>
  <si>
    <t>Marketing Executive</t>
  </si>
  <si>
    <t>Non vegetarian</t>
  </si>
  <si>
    <t>3 times/week</t>
  </si>
  <si>
    <t>Street food &amp; fast food</t>
  </si>
  <si>
    <t>Street Vendors</t>
  </si>
  <si>
    <t>High cholesterol</t>
  </si>
  <si>
    <t>36-45</t>
  </si>
  <si>
    <t>Teacher</t>
  </si>
  <si>
    <t>Once a week</t>
  </si>
  <si>
    <t>Home-style meals</t>
  </si>
  <si>
    <t>1500</t>
  </si>
  <si>
    <t>Prefer homemade</t>
  </si>
  <si>
    <t>Business Owner</t>
  </si>
  <si>
    <t>Rich &amp; oily food</t>
  </si>
  <si>
    <t>BP &amp; sugar</t>
  </si>
  <si>
    <t>College Student</t>
  </si>
  <si>
    <t>Vegan</t>
  </si>
  <si>
    <t>Healthy bowls</t>
  </si>
  <si>
    <t>2000</t>
  </si>
  <si>
    <t>HR Executive</t>
  </si>
  <si>
    <t>2-3 times/week</t>
  </si>
  <si>
    <t>Acidity</t>
  </si>
  <si>
    <t>3500</t>
  </si>
  <si>
    <t>46-55</t>
  </si>
  <si>
    <t>Govt Employee</t>
  </si>
  <si>
    <t>Rarely</t>
  </si>
  <si>
    <t>Simple Indian food</t>
  </si>
  <si>
    <t>800</t>
  </si>
  <si>
    <t>Homemade</t>
  </si>
  <si>
    <t>Freelancer</t>
  </si>
  <si>
    <t>4-5 times/week</t>
  </si>
  <si>
    <t>Burgers &amp; pizza</t>
  </si>
  <si>
    <t>Doctor</t>
  </si>
  <si>
    <t>Protein rich meals</t>
  </si>
  <si>
    <t>3000</t>
  </si>
  <si>
    <t>Lawyer</t>
  </si>
  <si>
    <t>2 times/week</t>
  </si>
  <si>
    <t>North Indian</t>
  </si>
  <si>
    <t>BP</t>
  </si>
  <si>
    <t>2800</t>
  </si>
  <si>
    <t>Shopkeeper</t>
  </si>
  <si>
    <t>Once a month</t>
  </si>
  <si>
    <t>Simple meals</t>
  </si>
  <si>
    <t>500</t>
  </si>
  <si>
    <t>Acne issues</t>
  </si>
  <si>
    <t>Outside</t>
  </si>
  <si>
    <t>High stress</t>
  </si>
  <si>
    <t>7000</t>
  </si>
  <si>
    <t>Accountant</t>
  </si>
  <si>
    <t>Indian meals</t>
  </si>
  <si>
    <t>Retired</t>
  </si>
  <si>
    <t>Light meals</t>
  </si>
  <si>
    <t>Home</t>
  </si>
  <si>
    <t>300</t>
  </si>
  <si>
    <t>Intern</t>
  </si>
  <si>
    <t>Street food</t>
  </si>
  <si>
    <t>Stomach pain</t>
  </si>
  <si>
    <t>1800</t>
  </si>
  <si>
    <t>Sales Executive</t>
  </si>
  <si>
    <t>4200</t>
  </si>
  <si>
    <t>Operations Manager</t>
  </si>
  <si>
    <t>Oily &amp; spicy food</t>
  </si>
  <si>
    <t>6500</t>
  </si>
  <si>
    <t>Snacks &amp; chaat</t>
  </si>
  <si>
    <t>1200</t>
  </si>
  <si>
    <t>Content Writer</t>
  </si>
  <si>
    <t>Healthy food</t>
  </si>
  <si>
    <t>2300</t>
  </si>
  <si>
    <t>Homemaker</t>
  </si>
  <si>
    <t>Simple food</t>
  </si>
  <si>
    <t>400</t>
  </si>
  <si>
    <t>Consultant</t>
  </si>
  <si>
    <t>Grilled food</t>
  </si>
  <si>
    <t>2200</t>
  </si>
  <si>
    <t>Gamer</t>
  </si>
  <si>
    <t>5500</t>
  </si>
  <si>
    <t>Healthy Indian</t>
  </si>
  <si>
    <t>2600</t>
  </si>
  <si>
    <t>Factory Supervisor</t>
  </si>
  <si>
    <t>3 times week</t>
  </si>
  <si>
    <t>1 time week</t>
  </si>
  <si>
    <t>Monthly_Spending_INR</t>
  </si>
  <si>
    <t>Food_Preference</t>
  </si>
  <si>
    <t>Fast Food</t>
  </si>
  <si>
    <t>Weight Gain</t>
  </si>
  <si>
    <t>Digestion Issues</t>
  </si>
  <si>
    <t>Street Food</t>
  </si>
  <si>
    <t>High Cholesterol</t>
  </si>
  <si>
    <t>Home Style</t>
  </si>
  <si>
    <t>Rich &amp; Oily</t>
  </si>
  <si>
    <t>BP &amp; Sugar</t>
  </si>
  <si>
    <t>Healthy Food</t>
  </si>
  <si>
    <t>Snacks</t>
  </si>
  <si>
    <t>Simple Indian</t>
  </si>
  <si>
    <t>Protein Rich</t>
  </si>
  <si>
    <t>Simple Food</t>
  </si>
  <si>
    <t>Acne</t>
  </si>
  <si>
    <t>Stress</t>
  </si>
  <si>
    <t>Indian Meals</t>
  </si>
  <si>
    <t>Light Meals</t>
  </si>
  <si>
    <t>Stomach Pain</t>
  </si>
  <si>
    <t>Oily Food</t>
  </si>
  <si>
    <t>Grilled Food</t>
  </si>
  <si>
    <t>Indian</t>
  </si>
  <si>
    <t>Agriculture</t>
  </si>
  <si>
    <t>two thousand</t>
  </si>
  <si>
    <t>Row Labels</t>
  </si>
  <si>
    <t>Grand Total</t>
  </si>
  <si>
    <t>Count of Respondent_ID</t>
  </si>
  <si>
    <t>Average of Eating_Out_Frequency</t>
  </si>
  <si>
    <t>Frequency_per_week</t>
  </si>
  <si>
    <t>Food_Type</t>
  </si>
  <si>
    <t>Average of Monthly_Spending_INR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</si>
</sst>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pivotButton="1" applyBorder="1"/>
    <xf numFmtId="0" fontId="0" fillId="0" borderId="2" xfId="0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75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[aassignment 4.xlsx]Analyse!PivotTable2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Eating Out By Age_Group</a:t>
            </a:r>
            <a:endParaRPr lang="en-US"/>
          </a:p>
        </c:rich>
      </c:tx>
      <c:layout>
        <c:manualLayout>
          <c:xMode val="edge"/>
          <c:yMode val="edge"/>
          <c:x val="0.23483333333333339"/>
          <c:y val="2.5925853018372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59492563429572"/>
          <c:y val="0.25865522018081066"/>
          <c:w val="0.78810870516185472"/>
          <c:h val="0.657093540390784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Analyse!$D$4:$D$8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</c:strCache>
            </c:strRef>
          </c:cat>
          <c:val>
            <c:numRef>
              <c:f>Analyse!$E$4:$E$8</c:f>
              <c:numCache>
                <c:formatCode>General</c:formatCode>
                <c:ptCount val="4"/>
                <c:pt idx="0">
                  <c:v>3.75</c:v>
                </c:pt>
                <c:pt idx="1">
                  <c:v>2.875</c:v>
                </c:pt>
                <c:pt idx="2">
                  <c:v>3.2857142857142856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3-424E-BFF5-6A50E4FD04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6241888"/>
        <c:axId val="656239968"/>
      </c:barChart>
      <c:catAx>
        <c:axId val="656241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39968"/>
        <c:crosses val="autoZero"/>
        <c:auto val="1"/>
        <c:lblAlgn val="ctr"/>
        <c:lblOffset val="100"/>
        <c:noMultiLvlLbl val="0"/>
      </c:catAx>
      <c:valAx>
        <c:axId val="65623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4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[aassignment 4.xlsx]Analyse!PivotTable3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Preferred</a:t>
            </a:r>
            <a:r>
              <a:rPr lang="en-IN" baseline="0"/>
              <a:t> Food Source</a:t>
            </a:r>
            <a:endParaRPr lang="en-IN"/>
          </a:p>
        </c:rich>
      </c:tx>
      <c:layout>
        <c:manualLayout>
          <c:xMode val="edge"/>
          <c:yMode val="edge"/>
          <c:x val="0.34947537440172921"/>
          <c:y val="4.6403513286329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572085842210901"/>
          <c:y val="0.17354713830705804"/>
          <c:w val="0.41875451597962021"/>
          <c:h val="0.77547132588818557"/>
        </c:manualLayout>
      </c:layout>
      <c:pieChart>
        <c:varyColors val="1"/>
        <c:ser>
          <c:idx val="0"/>
          <c:order val="0"/>
          <c:tx>
            <c:strRef>
              <c:f>Analyse!$H$3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E3-4E53-B3A1-BF05A971B6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E3-4E53-B3A1-BF05A971B6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E3-4E53-B3A1-BF05A971B6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E3-4E53-B3A1-BF05A971B6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0E3-4E53-B3A1-BF05A971B6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0E3-4E53-B3A1-BF05A971B6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0E3-4E53-B3A1-BF05A971B6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0E3-4E53-B3A1-BF05A971B66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0E3-4E53-B3A1-BF05A971B6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0E3-4E53-B3A1-BF05A971B66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0E3-4E53-B3A1-BF05A971B66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0E3-4E53-B3A1-BF05A971B66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0E3-4E53-B3A1-BF05A971B66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0E3-4E53-B3A1-BF05A971B66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0E3-4E53-B3A1-BF05A971B6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Analyse!$G$4:$G$19</c:f>
              <c:strCache>
                <c:ptCount val="15"/>
                <c:pt idx="0">
                  <c:v>Fast Food</c:v>
                </c:pt>
                <c:pt idx="1">
                  <c:v>Grilled Food</c:v>
                </c:pt>
                <c:pt idx="2">
                  <c:v>Healthy Food</c:v>
                </c:pt>
                <c:pt idx="3">
                  <c:v>Healthy Indian</c:v>
                </c:pt>
                <c:pt idx="4">
                  <c:v>Home Style</c:v>
                </c:pt>
                <c:pt idx="5">
                  <c:v>Indian Meals</c:v>
                </c:pt>
                <c:pt idx="6">
                  <c:v>Light Meals</c:v>
                </c:pt>
                <c:pt idx="7">
                  <c:v>North Indian</c:v>
                </c:pt>
                <c:pt idx="8">
                  <c:v>Oily Food</c:v>
                </c:pt>
                <c:pt idx="9">
                  <c:v>Protein Rich</c:v>
                </c:pt>
                <c:pt idx="10">
                  <c:v>Rich &amp; Oily</c:v>
                </c:pt>
                <c:pt idx="11">
                  <c:v>Simple Food</c:v>
                </c:pt>
                <c:pt idx="12">
                  <c:v>Simple Indian</c:v>
                </c:pt>
                <c:pt idx="13">
                  <c:v>Snacks</c:v>
                </c:pt>
                <c:pt idx="14">
                  <c:v>Street Food</c:v>
                </c:pt>
              </c:strCache>
            </c:strRef>
          </c:cat>
          <c:val>
            <c:numRef>
              <c:f>Analyse!$H$4:$H$19</c:f>
              <c:numCache>
                <c:formatCode>General</c:formatCode>
                <c:ptCount val="15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0E3-4E53-B3A1-BF05A971B66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Concern vs Eating Out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Acidity</c:v>
              </c:pt>
              <c:pt idx="1">
                <c:v>Acne</c:v>
              </c:pt>
              <c:pt idx="2">
                <c:v>BP</c:v>
              </c:pt>
              <c:pt idx="3">
                <c:v>BP &amp; Sugar</c:v>
              </c:pt>
              <c:pt idx="4">
                <c:v>Digestion Issues</c:v>
              </c:pt>
              <c:pt idx="5">
                <c:v>High Cholesterol</c:v>
              </c:pt>
              <c:pt idx="6">
                <c:v>None</c:v>
              </c:pt>
              <c:pt idx="7">
                <c:v>Stomach Pain</c:v>
              </c:pt>
              <c:pt idx="8">
                <c:v>Stress</c:v>
              </c:pt>
              <c:pt idx="9">
                <c:v>Weight Gain</c:v>
              </c:pt>
            </c:strLit>
          </c:cat>
          <c:val>
            <c:numLit>
              <c:formatCode>General</c:formatCode>
              <c:ptCount val="10"/>
              <c:pt idx="0">
                <c:v>2.3333333333333335</c:v>
              </c:pt>
              <c:pt idx="1">
                <c:v>3</c:v>
              </c:pt>
              <c:pt idx="2">
                <c:v>4.5</c:v>
              </c:pt>
              <c:pt idx="3">
                <c:v>7</c:v>
              </c:pt>
              <c:pt idx="4">
                <c:v>7</c:v>
              </c:pt>
              <c:pt idx="5">
                <c:v>3</c:v>
              </c:pt>
              <c:pt idx="6">
                <c:v>1.25</c:v>
              </c:pt>
              <c:pt idx="7">
                <c:v>2</c:v>
              </c:pt>
              <c:pt idx="8">
                <c:v>7</c:v>
              </c:pt>
              <c:pt idx="9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69AB-4B19-BD47-DEBB8D2F4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6486608"/>
        <c:axId val="1916477968"/>
      </c:barChart>
      <c:catAx>
        <c:axId val="191648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77968"/>
        <c:crosses val="autoZero"/>
        <c:auto val="1"/>
        <c:lblAlgn val="ctr"/>
        <c:lblOffset val="100"/>
        <c:noMultiLvlLbl val="0"/>
      </c:catAx>
      <c:valAx>
        <c:axId val="1916477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648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[aassignment 4.xlsx]Analyse!PivotTable8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_Group vs Average Monthly Spending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Analyse!$E$15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Analyse!$D$16:$D$20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</c:strCache>
            </c:strRef>
          </c:cat>
          <c:val>
            <c:numRef>
              <c:f>Analyse!$E$16:$E$20</c:f>
              <c:numCache>
                <c:formatCode>General</c:formatCode>
                <c:ptCount val="4"/>
                <c:pt idx="0">
                  <c:v>3437.5</c:v>
                </c:pt>
                <c:pt idx="1">
                  <c:v>3475</c:v>
                </c:pt>
                <c:pt idx="2">
                  <c:v>3457.1428571428573</c:v>
                </c:pt>
                <c:pt idx="3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8-4820-AE03-11B83D24DD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3151472"/>
        <c:axId val="963150032"/>
      </c:lineChart>
      <c:catAx>
        <c:axId val="96315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50032"/>
        <c:crosses val="autoZero"/>
        <c:auto val="1"/>
        <c:lblAlgn val="ctr"/>
        <c:lblOffset val="100"/>
        <c:noMultiLvlLbl val="0"/>
      </c:catAx>
      <c:valAx>
        <c:axId val="96315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5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</xdr:row>
      <xdr:rowOff>175260</xdr:rowOff>
    </xdr:from>
    <xdr:to>
      <xdr:col>10</xdr:col>
      <xdr:colOff>106680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5DA7F-401E-444F-9369-4D15AB8C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358140</xdr:colOff>
      <xdr:row>2</xdr:row>
      <xdr:rowOff>7620</xdr:rowOff>
    </xdr:from>
    <xdr:to>
      <xdr:col>23</xdr:col>
      <xdr:colOff>129540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2D32A-788A-4045-BB0D-B71968301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22</xdr:row>
      <xdr:rowOff>152400</xdr:rowOff>
    </xdr:from>
    <xdr:to>
      <xdr:col>9</xdr:col>
      <xdr:colOff>594360</xdr:colOff>
      <xdr:row>39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5BFAA-1083-4CC0-B468-8138AD65E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586740</xdr:colOff>
      <xdr:row>22</xdr:row>
      <xdr:rowOff>144780</xdr:rowOff>
    </xdr:from>
    <xdr:to>
      <xdr:col>22</xdr:col>
      <xdr:colOff>7620</xdr:colOff>
      <xdr:row>39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939DA3-299C-4983-A2D4-E7F0C2F2E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jay Poonia" refreshedDate="46023.614307060183" backgroundQuery="1" createdVersion="8" refreshedVersion="8" minRefreshableVersion="3" recordCount="0" supportSubquery="1" supportAdvancedDrill="1" xr:uid="{33A55D01-FD4F-4E0C-AAFC-D18982E2B6DA}">
  <cacheSource type="external" connectionId="3"/>
  <cacheFields count="2">
    <cacheField name="[cleaned_data].[Age_Group].[Age_Group]" caption="Age_Group" numFmtId="0" hierarchy="1" level="1">
      <sharedItems count="4">
        <s v="18-25"/>
        <s v="26-35"/>
        <s v="36-45"/>
        <s v="46-55"/>
      </sharedItems>
    </cacheField>
    <cacheField name="[Measures].[Average of Eating_Out_Frequency]" caption="Average of Eating_Out_Frequency" numFmtId="0" hierarchy="13" level="32767"/>
  </cacheFields>
  <cacheHierarchies count="14">
    <cacheHierarchy uniqueName="[cleaned_data].[Respondent_ID]" caption="Respondent_ID" attribute="1" defaultMemberUniqueName="[cleaned_data].[Respondent_ID].[All]" allUniqueName="[cleaned_data].[Respondent_ID].[All]" dimensionUniqueName="[cleaned_data]" displayFolder="" count="0" memberValueDatatype="20" unbalanced="0"/>
    <cacheHierarchy uniqueName="[cleaned_data].[Age_Group]" caption="Age_Group" attribute="1" defaultMemberUniqueName="[cleaned_data].[Age_Group].[All]" allUniqueName="[cleaned_data].[Age_Group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Profession]" caption="Profession" attribute="1" defaultMemberUniqueName="[cleaned_data].[Profession].[All]" allUniqueName="[cleaned_data].[Profession].[All]" dimensionUniqueName="[cleaned_data]" displayFolder="" count="0" memberValueDatatype="130" unbalanced="0"/>
    <cacheHierarchy uniqueName="[cleaned_data].[Dietary_Preference]" caption="Dietary_Preference" attribute="1" defaultMemberUniqueName="[cleaned_data].[Dietary_Preference].[All]" allUniqueName="[cleaned_data].[Dietary_Preference].[All]" dimensionUniqueName="[cleaned_data]" displayFolder="" count="0" memberValueDatatype="130" unbalanced="0"/>
    <cacheHierarchy uniqueName="[cleaned_data].[Eating_Out_Frequency]" caption="Eating_Out_Frequency" attribute="1" defaultMemberUniqueName="[cleaned_data].[Eating_Out_Frequency].[All]" allUniqueName="[cleaned_data].[Eating_Out_Frequency].[All]" dimensionUniqueName="[cleaned_data]" displayFolder="" count="0" memberValueDatatype="20" unbalanced="0"/>
    <cacheHierarchy uniqueName="[cleaned_data].[Food_Type_Consumed]" caption="Food_Type_Consumed" attribute="1" defaultMemberUniqueName="[cleaned_data].[Food_Type_Consumed].[All]" allUniqueName="[cleaned_data].[Food_Type_Consumed].[All]" dimensionUniqueName="[cleaned_data]" displayFolder="" count="0" memberValueDatatype="130" unbalanced="0"/>
    <cacheHierarchy uniqueName="[cleaned_data].[Preferred_Source]" caption="Preferred_Source" attribute="1" defaultMemberUniqueName="[cleaned_data].[Preferred_Source].[All]" allUniqueName="[cleaned_data].[Preferred_Source].[All]" dimensionUniqueName="[cleaned_data]" displayFolder="" count="0" memberValueDatatype="130" unbalanced="0"/>
    <cacheHierarchy uniqueName="[cleaned_data].[Health_Concern]" caption="Health_Concern" attribute="1" defaultMemberUniqueName="[cleaned_data].[Health_Concern].[All]" allUniqueName="[cleaned_data].[Health_Concern].[All]" dimensionUniqueName="[cleaned_data]" displayFolder="" count="0" memberValueDatatype="130" unbalanced="0"/>
    <cacheHierarchy uniqueName="[cleaned_data].[Monthly_Spending_INR]" caption="Monthly_Spending_INR" attribute="1" defaultMemberUniqueName="[cleaned_data].[Monthly_Spending_INR].[All]" allUniqueName="[cleaned_data].[Monthly_Spending_INR].[All]" dimensionUniqueName="[cleaned_data]" displayFolder="" count="0" memberValueDatatype="20" unbalanced="0"/>
    <cacheHierarchy uniqueName="[cleaned_data].[Food_Preference]" caption="Food_Preference" attribute="1" defaultMemberUniqueName="[cleaned_data].[Food_Preference].[All]" allUniqueName="[cleaned_data].[Food_Preference].[All]" dimensionUniqueName="[cleaned_data]" displayFolder="" count="0" memberValueDatatype="13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Sum of Eating_Out_Frequency]" caption="Sum of Eating_Out_Frequency" measure="1" displayFolder="" measureGroup="cleane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Eating_Out_Frequency]" caption="Average of Eating_Out_Frequency" measure="1" displayFolder="" measureGroup="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3.627957291668" createdVersion="8" refreshedVersion="8" minRefreshableVersion="3" recordCount="27" xr:uid="{0615B246-62AE-433B-B3C9-C9969A3CF307}">
  <cacheSource type="worksheet">
    <worksheetSource name="cleaned_data"/>
  </cacheSource>
  <cacheFields count="10">
    <cacheField name="Respondent_ID" numFmtId="0">
      <sharedItems containsSemiMixedTypes="0" containsString="0" containsNumber="1" containsInteger="1" minValue="1" maxValue="27"/>
    </cacheField>
    <cacheField name="Age_Group" numFmtId="0">
      <sharedItems count="4">
        <s v="18-25"/>
        <s v="26-35"/>
        <s v="36-45"/>
        <s v="46-55"/>
      </sharedItems>
    </cacheField>
    <cacheField name="Profession" numFmtId="0">
      <sharedItems/>
    </cacheField>
    <cacheField name="Dietary_Preference" numFmtId="0">
      <sharedItems/>
    </cacheField>
    <cacheField name="Eating_Out_Frequency" numFmtId="0">
      <sharedItems containsSemiMixedTypes="0" containsString="0" containsNumber="1" containsInteger="1" minValue="0" maxValue="7" count="7">
        <n v="4"/>
        <n v="7"/>
        <n v="1"/>
        <n v="3"/>
        <n v="5"/>
        <n v="2"/>
        <n v="0" u="1"/>
      </sharedItems>
    </cacheField>
    <cacheField name="Food_Type_Consumed" numFmtId="0">
      <sharedItems count="15">
        <s v="Fast Food"/>
        <s v="Healthy Indian"/>
        <s v="Street Food"/>
        <s v="Home Style"/>
        <s v="Rich &amp; Oily"/>
        <s v="Healthy Food"/>
        <s v="Snacks"/>
        <s v="Simple Indian"/>
        <s v="Protein Rich"/>
        <s v="North Indian"/>
        <s v="Simple Food"/>
        <s v="Indian Meals"/>
        <s v="Light Meals"/>
        <s v="Oily Food"/>
        <s v="Grilled Food"/>
      </sharedItems>
    </cacheField>
    <cacheField name="Preferred_Source" numFmtId="0">
      <sharedItems/>
    </cacheField>
    <cacheField name="Health_Concern" numFmtId="0">
      <sharedItems count="10">
        <s v="Weight Gain"/>
        <s v="Digestion Issues"/>
        <s v="None"/>
        <s v="High Cholesterol"/>
        <s v="BP &amp; Sugar"/>
        <s v="Acidity"/>
        <s v="BP"/>
        <s v="Acne"/>
        <s v="Stress"/>
        <s v="Stomach Pain"/>
      </sharedItems>
    </cacheField>
    <cacheField name="Monthly_Spending_INR" numFmtId="0">
      <sharedItems containsSemiMixedTypes="0" containsString="0" containsNumber="1" containsInteger="1" minValue="300" maxValue="8000"/>
    </cacheField>
    <cacheField name="Food_P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1"/>
    <x v="0"/>
    <s v="Student"/>
    <s v="Vegetarian"/>
    <x v="0"/>
    <x v="0"/>
    <s v="Food Apps"/>
    <x v="0"/>
    <n v="2000"/>
    <s v="Outside"/>
  </r>
  <r>
    <n v="2"/>
    <x v="0"/>
    <s v="Student"/>
    <s v="Non-Vegetarian"/>
    <x v="1"/>
    <x v="0"/>
    <s v="Restaurants"/>
    <x v="1"/>
    <n v="4500"/>
    <s v="Outside"/>
  </r>
  <r>
    <n v="3"/>
    <x v="1"/>
    <s v="Agriculture"/>
    <s v="Eggetarian"/>
    <x v="2"/>
    <x v="1"/>
    <s v="Street Vendors"/>
    <x v="2"/>
    <n v="1200"/>
    <s v="Balanced"/>
  </r>
  <r>
    <n v="4"/>
    <x v="1"/>
    <s v="Marketing Executive"/>
    <s v="Non-Vegetarian"/>
    <x v="3"/>
    <x v="2"/>
    <s v="Street Vendors"/>
    <x v="3"/>
    <n v="4000"/>
    <s v="Outside"/>
  </r>
  <r>
    <n v="5"/>
    <x v="2"/>
    <s v="Teacher"/>
    <s v="Vegetarian"/>
    <x v="2"/>
    <x v="3"/>
    <s v="Restaurants"/>
    <x v="2"/>
    <n v="1500"/>
    <s v="Homemade"/>
  </r>
  <r>
    <n v="6"/>
    <x v="2"/>
    <s v="Business Owner"/>
    <s v="Non-Vegetarian"/>
    <x v="1"/>
    <x v="4"/>
    <s v="Restaurants"/>
    <x v="4"/>
    <n v="8000"/>
    <s v="Outside"/>
  </r>
  <r>
    <n v="7"/>
    <x v="0"/>
    <s v="College Student"/>
    <s v="Vegan"/>
    <x v="2"/>
    <x v="5"/>
    <s v="Cafes"/>
    <x v="2"/>
    <n v="2000"/>
    <s v="Balanced"/>
  </r>
  <r>
    <n v="8"/>
    <x v="1"/>
    <s v="HR Executive"/>
    <s v="Vegetarian"/>
    <x v="3"/>
    <x v="6"/>
    <s v="Food Apps"/>
    <x v="5"/>
    <n v="3500"/>
    <s v="Outside"/>
  </r>
  <r>
    <n v="9"/>
    <x v="3"/>
    <s v="Govt Employee"/>
    <s v="Vegetarian"/>
    <x v="2"/>
    <x v="7"/>
    <s v="Restaurants"/>
    <x v="2"/>
    <n v="800"/>
    <s v="Homemade"/>
  </r>
  <r>
    <n v="10"/>
    <x v="0"/>
    <s v="Freelancer"/>
    <s v="Non-Vegetarian"/>
    <x v="4"/>
    <x v="0"/>
    <s v="Food Apps"/>
    <x v="0"/>
    <n v="7000"/>
    <s v="Outside"/>
  </r>
  <r>
    <n v="11"/>
    <x v="1"/>
    <s v="Doctor"/>
    <s v="Non-Vegetarian"/>
    <x v="2"/>
    <x v="8"/>
    <s v="Restaurants"/>
    <x v="2"/>
    <n v="3000"/>
    <s v="Balanced"/>
  </r>
  <r>
    <n v="12"/>
    <x v="2"/>
    <s v="Lawyer"/>
    <s v="Vegetarian"/>
    <x v="5"/>
    <x v="9"/>
    <s v="Restaurants"/>
    <x v="6"/>
    <n v="2800"/>
    <s v="Balanced"/>
  </r>
  <r>
    <n v="13"/>
    <x v="3"/>
    <s v="Shopkeeper"/>
    <s v="Vegetarian"/>
    <x v="2"/>
    <x v="10"/>
    <s v="Street Vendors"/>
    <x v="2"/>
    <n v="500"/>
    <s v="Homemade"/>
  </r>
  <r>
    <n v="14"/>
    <x v="0"/>
    <s v="Student"/>
    <s v="Eggetarian"/>
    <x v="3"/>
    <x v="0"/>
    <s v="Food Apps"/>
    <x v="7"/>
    <n v="3500"/>
    <s v="Outside"/>
  </r>
  <r>
    <n v="15"/>
    <x v="1"/>
    <s v="Business Owner"/>
    <s v="Non-Vegetarian"/>
    <x v="1"/>
    <x v="1"/>
    <s v="Restaurants"/>
    <x v="8"/>
    <n v="7000"/>
    <s v="Outside"/>
  </r>
  <r>
    <n v="16"/>
    <x v="2"/>
    <s v="Accountant"/>
    <s v="Vegetarian"/>
    <x v="5"/>
    <x v="11"/>
    <s v="Cafes"/>
    <x v="2"/>
    <n v="2000"/>
    <s v="Balanced"/>
  </r>
  <r>
    <n v="17"/>
    <x v="3"/>
    <s v="Retired"/>
    <s v="Vegetarian"/>
    <x v="2"/>
    <x v="12"/>
    <s v="Home"/>
    <x v="2"/>
    <n v="300"/>
    <s v="Homemade"/>
  </r>
  <r>
    <n v="18"/>
    <x v="0"/>
    <s v="Intern"/>
    <s v="Non-Vegetarian"/>
    <x v="5"/>
    <x v="2"/>
    <s v="Street Vendors"/>
    <x v="9"/>
    <n v="1800"/>
    <s v="Outside"/>
  </r>
  <r>
    <n v="19"/>
    <x v="1"/>
    <s v="Sales Executive"/>
    <s v="Vegetarian"/>
    <x v="0"/>
    <x v="0"/>
    <s v="Food Apps"/>
    <x v="0"/>
    <n v="4200"/>
    <s v="Outside"/>
  </r>
  <r>
    <n v="20"/>
    <x v="2"/>
    <s v="Operations Manager"/>
    <s v="Non-Vegetarian"/>
    <x v="1"/>
    <x v="13"/>
    <s v="Restaurants"/>
    <x v="6"/>
    <n v="6500"/>
    <s v="Outside"/>
  </r>
  <r>
    <n v="21"/>
    <x v="0"/>
    <s v="Student"/>
    <s v="Vegetarian"/>
    <x v="2"/>
    <x v="6"/>
    <s v="Street Vendors"/>
    <x v="2"/>
    <n v="1200"/>
    <s v="Balanced"/>
  </r>
  <r>
    <n v="22"/>
    <x v="1"/>
    <s v="Content Writer"/>
    <s v="Vegan"/>
    <x v="5"/>
    <x v="5"/>
    <s v="Cafes"/>
    <x v="2"/>
    <n v="2300"/>
    <s v="Balanced"/>
  </r>
  <r>
    <n v="23"/>
    <x v="2"/>
    <s v="Homemaker"/>
    <s v="Vegetarian"/>
    <x v="2"/>
    <x v="10"/>
    <s v="Home"/>
    <x v="2"/>
    <n v="400"/>
    <s v="Homemade"/>
  </r>
  <r>
    <n v="24"/>
    <x v="3"/>
    <s v="Consultant"/>
    <s v="Non-Vegetarian"/>
    <x v="2"/>
    <x v="14"/>
    <s v="Restaurants"/>
    <x v="5"/>
    <n v="2200"/>
    <s v="Balanced"/>
  </r>
  <r>
    <n v="25"/>
    <x v="0"/>
    <s v="Gamer"/>
    <s v="Non-Vegetarian"/>
    <x v="1"/>
    <x v="0"/>
    <s v="Food Apps"/>
    <x v="0"/>
    <n v="5500"/>
    <s v="Outside"/>
  </r>
  <r>
    <n v="26"/>
    <x v="1"/>
    <s v="Student"/>
    <s v="Vegetarian"/>
    <x v="5"/>
    <x v="1"/>
    <s v="Cafes"/>
    <x v="2"/>
    <n v="2600"/>
    <s v="Balanced"/>
  </r>
  <r>
    <n v="27"/>
    <x v="2"/>
    <s v="Factory Supervisor"/>
    <s v="Non-Vegetarian"/>
    <x v="3"/>
    <x v="2"/>
    <s v="Street Vendors"/>
    <x v="5"/>
    <n v="3000"/>
    <s v="Outsi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BD469-B3B1-4ABD-BD3A-7667B66BD75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ealth_Concern">
  <location ref="A15:B26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7"/>
        <item x="6"/>
        <item x="4"/>
        <item x="1"/>
        <item x="3"/>
        <item x="2"/>
        <item x="9"/>
        <item x="8"/>
        <item x="0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spondent_ID" fld="0" subtotal="count" baseField="7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70696-C99E-4BB0-8443-0835C21DF57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ood_Type">
  <location ref="G3:H19" firstHeaderRow="1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16">
        <item x="0"/>
        <item x="14"/>
        <item x="5"/>
        <item x="1"/>
        <item x="3"/>
        <item x="11"/>
        <item x="12"/>
        <item x="9"/>
        <item x="13"/>
        <item x="8"/>
        <item x="4"/>
        <item x="10"/>
        <item x="7"/>
        <item x="6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Respondent_ID" fld="0" subtotal="count" baseField="5" baseItem="1"/>
  </dataFields>
  <formats count="4">
    <format dxfId="15">
      <pivotArea collapsedLevelsAreSubtotals="1" fieldPosition="0">
        <references count="1">
          <reference field="5" count="0"/>
        </references>
      </pivotArea>
    </format>
    <format dxfId="14">
      <pivotArea field="5" type="button" dataOnly="0" labelOnly="1" outline="0" axis="axisRow" fieldPosition="0"/>
    </format>
    <format dxfId="13">
      <pivotArea dataOnly="0" labelOnly="1" fieldPosition="0">
        <references count="1">
          <reference field="5" count="0"/>
        </references>
      </pivotArea>
    </format>
    <format dxfId="12">
      <pivotArea dataOnly="0" labelOnly="1" outline="0" axis="axisValues" fieldPosition="0"/>
    </format>
  </formats>
  <chartFormats count="16"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0F15B-E222-49A4-80BD-186AAEE3198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4:K15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5"/>
        <item x="7"/>
        <item x="6"/>
        <item x="4"/>
        <item x="1"/>
        <item x="3"/>
        <item x="2"/>
        <item x="9"/>
        <item x="8"/>
        <item x="0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Eating_Out_Frequency" fld="4" subtotal="average" baseField="7" baseItem="3"/>
  </dataFields>
  <formats count="4">
    <format dxfId="19">
      <pivotArea collapsedLevelsAreSubtotals="1" fieldPosition="0">
        <references count="1">
          <reference field="7" count="0"/>
        </references>
      </pivotArea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8E6EA-6095-4A99-A142-D5DEABDF874D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 rowHeaderCaption="Age_Group">
  <location ref="D3:E8" firstHeaderRow="1" firstDataRow="1" firstDataCol="1"/>
  <pivotFields count="2">
    <pivotField axis="axisRow" compact="0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ating_Out_Frequency" fld="1" subtotal="average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Eating_Out_Frequency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assign 4.xlsx!cleaned_data"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6C6C0-E2B3-4AB0-B17C-25F2EE9BC55B}" name="How often people eat out per week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equency_per_week">
  <location ref="A3:B10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8">
        <item m="1" x="6"/>
        <item x="2"/>
        <item x="5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spondent_ID" fld="0" subtotal="count" baseField="4" baseItem="4"/>
  </dataFields>
  <formats count="11">
    <format dxfId="36">
      <pivotArea collapsedLevelsAreSubtotals="1" fieldPosition="0">
        <references count="1">
          <reference field="4" count="0"/>
        </references>
      </pivotArea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How often people eat out per week 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ED89A-45BE-4FFE-8C29-721EE0A4906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_Group">
  <location ref="D15:E20" firstHeaderRow="1" firstDataRow="1" firstDataCol="1"/>
  <pivotFields count="10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_Spending_INR" fld="8" subtotal="average" baseField="1" baseItem="0"/>
  </dataFields>
  <formats count="10">
    <format dxfId="46">
      <pivotArea collapsedLevelsAreSubtotals="1" fieldPosition="0">
        <references count="1">
          <reference field="1" count="0"/>
        </references>
      </pivotArea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3AEDD3-B87A-4027-B705-1F5C99AA9B86}" autoFormatId="16" applyNumberFormats="0" applyBorderFormats="0" applyFontFormats="0" applyPatternFormats="0" applyAlignmentFormats="0" applyWidthHeightFormats="0">
  <queryTableRefresh nextId="12">
    <queryTableFields count="10">
      <queryTableField id="1" name="Respondent_ID" tableColumnId="1"/>
      <queryTableField id="2" name="Age_Group" tableColumnId="2"/>
      <queryTableField id="3" name="Profession" tableColumnId="3"/>
      <queryTableField id="4" name="Dietary_Preference" tableColumnId="4"/>
      <queryTableField id="5" name="Eating_Out_Frequency" tableColumnId="5"/>
      <queryTableField id="6" name="Food_Type_Consumed" tableColumnId="6"/>
      <queryTableField id="7" name="Preferred_Source" tableColumnId="7"/>
      <queryTableField id="8" name="Health_Concern" tableColumnId="8"/>
      <queryTableField id="9" name="Monthly_Spending" tableColumnId="9"/>
      <queryTableField id="10" name="Homemade_vs_Outsid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AD5444-4483-4118-AC17-F301A7A156B4}" autoFormatId="16" applyNumberFormats="0" applyBorderFormats="0" applyFontFormats="0" applyPatternFormats="0" applyAlignmentFormats="0" applyWidthHeightFormats="0">
  <queryTableRefresh nextId="11">
    <queryTableFields count="10">
      <queryTableField id="1" name="Respondent_ID" tableColumnId="1"/>
      <queryTableField id="2" name="Age_Group" tableColumnId="2"/>
      <queryTableField id="3" name="Profession" tableColumnId="3"/>
      <queryTableField id="4" name="Dietary_Preference" tableColumnId="4"/>
      <queryTableField id="5" name="Eating_Out_Frequency_per_Week" tableColumnId="5"/>
      <queryTableField id="6" name="Food_Type_Consumed" tableColumnId="6"/>
      <queryTableField id="7" name="Preferred_Source" tableColumnId="7"/>
      <queryTableField id="8" name="Health_Concern" tableColumnId="8"/>
      <queryTableField id="9" name="Monthly_Spending_INR" tableColumnId="9"/>
      <queryTableField id="10" name="Food_Prefere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3BBF6-62C4-4C19-BFEC-0204D02BEE7B}" name="eating_out_habits_raw_data" displayName="eating_out_habits_raw_data" ref="A1:J31" tableType="queryTable" headerRowDxfId="74" headerRowBorderDxfId="73">
  <autoFilter ref="A1:J31" xr:uid="{0973BBF6-62C4-4C19-BFEC-0204D02BEE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3220442-A309-4BB2-9B2B-541D7F71C730}" uniqueName="1" name="Respondent_ID" totalsRowFunction="custom" queryTableFieldId="1" totalsRowDxfId="72">
      <totalsRowFormula>SUBTOTAL(103,eating_out_habits_raw_data[[#Headers],[Respondent_ID]])</totalsRowFormula>
    </tableColumn>
    <tableColumn id="2" xr3:uid="{441CD399-4835-47F0-A54B-D0D5D34E01EC}" uniqueName="2" name="Age_Group" totalsRowFunction="custom" queryTableFieldId="2" dataDxfId="71" totalsRowDxfId="70">
      <totalsRowFormula>SUBTOTAL(103,eating_out_habits_raw_data[[#Headers],[Age_Group]])</totalsRowFormula>
    </tableColumn>
    <tableColumn id="3" xr3:uid="{1066F4BD-2927-4F82-8806-15928FD8DB90}" uniqueName="3" name="Profession" totalsRowFunction="custom" queryTableFieldId="3" dataDxfId="69" totalsRowDxfId="68">
      <totalsRowFormula>SUBTOTAL(103,eating_out_habits_raw_data[[#Headers],[Profession]])</totalsRowFormula>
    </tableColumn>
    <tableColumn id="4" xr3:uid="{E09AEC2B-365C-4EF2-BEB2-79704CCC4892}" uniqueName="4" name="Dietary_Preference" totalsRowFunction="custom" queryTableFieldId="4" dataDxfId="67" totalsRowDxfId="66">
      <totalsRowFormula>SUBTOTAL(103,eating_out_habits_raw_data[[#Headers],[Dietary_Preference]])</totalsRowFormula>
    </tableColumn>
    <tableColumn id="5" xr3:uid="{84B62C45-AABD-4797-A7FF-84B16D9AB782}" uniqueName="5" name="Eating_Out_Frequency" totalsRowFunction="custom" queryTableFieldId="5" dataDxfId="65" totalsRowDxfId="64">
      <totalsRowFormula>SUBTOTAL(103,eating_out_habits_raw_data[[#Headers],[Eating_Out_Frequency]])</totalsRowFormula>
    </tableColumn>
    <tableColumn id="6" xr3:uid="{5A7A2481-0801-4D93-8E46-BC2BBBEC0509}" uniqueName="6" name="Food_Type_Consumed" totalsRowFunction="custom" queryTableFieldId="6" dataDxfId="63" totalsRowDxfId="62">
      <totalsRowFormula>SUBTOTAL(103,eating_out_habits_raw_data[[#Headers],[Food_Type_Consumed]])</totalsRowFormula>
    </tableColumn>
    <tableColumn id="7" xr3:uid="{C2661753-95E9-4919-AC71-1C4D29965660}" uniqueName="7" name="Preferred_Source" totalsRowFunction="custom" queryTableFieldId="7" dataDxfId="61" totalsRowDxfId="60">
      <totalsRowFormula>SUBTOTAL(103,eating_out_habits_raw_data[[#Headers],[Preferred_Source]])</totalsRowFormula>
    </tableColumn>
    <tableColumn id="8" xr3:uid="{F9C8EEBF-3830-43FD-BAF1-9DF2F88B4C4F}" uniqueName="8" name="Health_Concern" totalsRowFunction="custom" queryTableFieldId="8" dataDxfId="59" totalsRowDxfId="58">
      <totalsRowFormula>SUBTOTAL(103,eating_out_habits_raw_data[[#Headers],[Health_Concern]])</totalsRowFormula>
    </tableColumn>
    <tableColumn id="9" xr3:uid="{036C301A-1EC6-403E-B20B-420AE2912D30}" uniqueName="9" name="Monthly_Spending" totalsRowFunction="custom" queryTableFieldId="9" dataDxfId="57" totalsRowDxfId="56">
      <totalsRowFormula>SUBTOTAL(103,eating_out_habits_raw_data[[#Headers],[Monthly_Spending]])</totalsRowFormula>
    </tableColumn>
    <tableColumn id="10" xr3:uid="{3C8EC603-B6D0-4DE2-A3C7-0D0A945E140E}" uniqueName="10" name="Homemade_vs_Outside" totalsRowFunction="custom" queryTableFieldId="10" dataDxfId="55" totalsRowDxfId="54">
      <totalsRowFormula>SUBTOTAL(103,eating_out_habits_raw_data[[#Headers],[Homemade_vs_Outside]])</totalsRow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3450B2-7365-4212-957A-EB5BCDF17944}" name="cleaned_data" displayName="cleaned_data" ref="A1:J28" tableType="queryTable">
  <autoFilter ref="A1:J28" xr:uid="{003450B2-7365-4212-957A-EB5BCDF179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944970E-4E29-4EF2-A21F-024FEA5647C8}" uniqueName="1" name="Respondent_ID" totalsRowLabel="Total" queryTableFieldId="1"/>
    <tableColumn id="2" xr3:uid="{95C8305F-271C-4EC7-856E-C58FBBD37DFD}" uniqueName="2" name="Age_Group" queryTableFieldId="2" dataDxfId="53"/>
    <tableColumn id="3" xr3:uid="{FB78F8AD-5F92-41D6-8366-85B93E63E525}" uniqueName="3" name="Profession" queryTableFieldId="3" dataDxfId="52"/>
    <tableColumn id="4" xr3:uid="{96D35CD3-2C85-4110-8F0A-32C371833158}" uniqueName="4" name="Dietary_Preference" queryTableFieldId="4" dataDxfId="51"/>
    <tableColumn id="5" xr3:uid="{31942F7F-4824-4D11-AB6B-ED13E963C654}" uniqueName="5" name="Eating_Out_Frequency" queryTableFieldId="5"/>
    <tableColumn id="6" xr3:uid="{B90A966D-7550-405D-AFA0-9D4CB1F25855}" uniqueName="6" name="Food_Type_Consumed" queryTableFieldId="6" dataDxfId="50"/>
    <tableColumn id="7" xr3:uid="{E3AA0DAF-4F2E-43FF-BC03-F5EF4F76E17B}" uniqueName="7" name="Preferred_Source" queryTableFieldId="7" dataDxfId="49"/>
    <tableColumn id="8" xr3:uid="{5E64AF81-4197-47C7-8C2F-EC3B81BEE828}" uniqueName="8" name="Health_Concern" queryTableFieldId="8" dataDxfId="48"/>
    <tableColumn id="9" xr3:uid="{536CEA50-EB5F-4732-8D83-9A64BA5F28CD}" uniqueName="9" name="Monthly_Spending_INR" queryTableFieldId="9"/>
    <tableColumn id="10" xr3:uid="{C669F2E3-BE4E-4650-8C4D-B714A09EB3CE}" uniqueName="10" name="Food_Preference" totalsRowFunction="count" queryTableFieldId="10" dataDxfId="4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2DB7-0332-4A26-B9E3-6B8F2F79FA4C}">
  <dimension ref="A1:J28"/>
  <sheetViews>
    <sheetView zoomScale="85" zoomScaleNormal="100" workbookViewId="0">
      <selection activeCell="E4" sqref="E4"/>
    </sheetView>
  </sheetViews>
  <sheetFormatPr defaultRowHeight="14.4" x14ac:dyDescent="0.3"/>
  <cols>
    <col min="1" max="1" width="16.21875" bestFit="1" customWidth="1"/>
    <col min="2" max="2" width="12.6640625" bestFit="1" customWidth="1"/>
    <col min="3" max="3" width="17.88671875" bestFit="1" customWidth="1"/>
    <col min="4" max="4" width="19.5546875" bestFit="1" customWidth="1"/>
    <col min="5" max="5" width="22.5546875" bestFit="1" customWidth="1"/>
    <col min="6" max="6" width="22.77734375" bestFit="1" customWidth="1"/>
    <col min="7" max="7" width="18" bestFit="1" customWidth="1"/>
    <col min="8" max="8" width="16.77734375" bestFit="1" customWidth="1"/>
    <col min="9" max="9" width="19.5546875" bestFit="1" customWidth="1"/>
    <col min="10" max="10" width="2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136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18</v>
      </c>
      <c r="E3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t="s">
        <v>24</v>
      </c>
    </row>
    <row r="4" spans="1:10" x14ac:dyDescent="0.3">
      <c r="A4">
        <v>3</v>
      </c>
      <c r="B4" t="s">
        <v>25</v>
      </c>
      <c r="C4" t="s">
        <v>135</v>
      </c>
      <c r="D4" t="s">
        <v>26</v>
      </c>
      <c r="E4" t="s">
        <v>56</v>
      </c>
      <c r="F4" s="2" t="s">
        <v>107</v>
      </c>
      <c r="G4" s="2" t="s">
        <v>35</v>
      </c>
      <c r="H4" s="2" t="s">
        <v>29</v>
      </c>
      <c r="I4" s="2">
        <v>1200</v>
      </c>
      <c r="J4" t="s">
        <v>30</v>
      </c>
    </row>
    <row r="5" spans="1:10" x14ac:dyDescent="0.3">
      <c r="A5">
        <v>4</v>
      </c>
      <c r="B5" t="s">
        <v>25</v>
      </c>
      <c r="C5" t="s">
        <v>31</v>
      </c>
      <c r="D5" t="s">
        <v>32</v>
      </c>
      <c r="E5" t="s">
        <v>110</v>
      </c>
      <c r="F5" s="2" t="s">
        <v>34</v>
      </c>
      <c r="G5" s="2" t="s">
        <v>35</v>
      </c>
      <c r="H5" s="2" t="s">
        <v>36</v>
      </c>
      <c r="I5" s="3">
        <v>4000</v>
      </c>
      <c r="J5" t="s">
        <v>17</v>
      </c>
    </row>
    <row r="6" spans="1:10" x14ac:dyDescent="0.3">
      <c r="A6">
        <v>5</v>
      </c>
      <c r="B6" t="s">
        <v>37</v>
      </c>
      <c r="C6" t="s">
        <v>38</v>
      </c>
      <c r="D6" t="s">
        <v>12</v>
      </c>
      <c r="E6" t="s">
        <v>39</v>
      </c>
      <c r="F6" s="2" t="s">
        <v>40</v>
      </c>
      <c r="G6" s="2" t="s">
        <v>21</v>
      </c>
      <c r="H6" s="2" t="s">
        <v>29</v>
      </c>
      <c r="I6" s="2" t="s">
        <v>41</v>
      </c>
      <c r="J6" t="s">
        <v>42</v>
      </c>
    </row>
    <row r="7" spans="1:10" x14ac:dyDescent="0.3">
      <c r="A7">
        <v>6</v>
      </c>
      <c r="B7" t="s">
        <v>37</v>
      </c>
      <c r="C7" t="s">
        <v>43</v>
      </c>
      <c r="D7" t="s">
        <v>18</v>
      </c>
      <c r="E7" t="s">
        <v>19</v>
      </c>
      <c r="F7" s="2" t="s">
        <v>44</v>
      </c>
      <c r="G7" s="2" t="s">
        <v>21</v>
      </c>
      <c r="H7" s="2" t="s">
        <v>45</v>
      </c>
      <c r="I7" s="2">
        <v>8000</v>
      </c>
      <c r="J7" t="s">
        <v>24</v>
      </c>
    </row>
    <row r="8" spans="1:10" x14ac:dyDescent="0.3">
      <c r="A8">
        <v>7</v>
      </c>
      <c r="B8" t="s">
        <v>10</v>
      </c>
      <c r="C8" t="s">
        <v>46</v>
      </c>
      <c r="D8" t="s">
        <v>47</v>
      </c>
      <c r="E8" t="s">
        <v>111</v>
      </c>
      <c r="F8" t="s">
        <v>48</v>
      </c>
      <c r="G8" t="s">
        <v>28</v>
      </c>
      <c r="H8" t="s">
        <v>29</v>
      </c>
      <c r="I8" t="s">
        <v>49</v>
      </c>
      <c r="J8" t="s">
        <v>30</v>
      </c>
    </row>
    <row r="9" spans="1:10" x14ac:dyDescent="0.3">
      <c r="A9">
        <v>8</v>
      </c>
      <c r="B9" t="s">
        <v>25</v>
      </c>
      <c r="C9" t="s">
        <v>50</v>
      </c>
      <c r="D9" t="s">
        <v>12</v>
      </c>
      <c r="E9" t="s">
        <v>51</v>
      </c>
      <c r="F9" t="s">
        <v>14</v>
      </c>
      <c r="G9" t="s">
        <v>15</v>
      </c>
      <c r="H9" t="s">
        <v>52</v>
      </c>
      <c r="I9" t="s">
        <v>53</v>
      </c>
      <c r="J9" t="s">
        <v>24</v>
      </c>
    </row>
    <row r="10" spans="1:10" x14ac:dyDescent="0.3">
      <c r="A10">
        <v>9</v>
      </c>
      <c r="B10" t="s">
        <v>54</v>
      </c>
      <c r="C10" t="s">
        <v>55</v>
      </c>
      <c r="D10" t="s">
        <v>12</v>
      </c>
      <c r="E10" t="s">
        <v>56</v>
      </c>
      <c r="F10" t="s">
        <v>57</v>
      </c>
      <c r="G10" t="s">
        <v>21</v>
      </c>
      <c r="H10" t="s">
        <v>29</v>
      </c>
      <c r="I10" t="s">
        <v>58</v>
      </c>
      <c r="J10" t="s">
        <v>59</v>
      </c>
    </row>
    <row r="11" spans="1:10" x14ac:dyDescent="0.3">
      <c r="A11">
        <v>10</v>
      </c>
      <c r="B11" t="s">
        <v>10</v>
      </c>
      <c r="C11" t="s">
        <v>60</v>
      </c>
      <c r="D11" t="s">
        <v>18</v>
      </c>
      <c r="E11" t="s">
        <v>61</v>
      </c>
      <c r="F11" t="s">
        <v>62</v>
      </c>
      <c r="G11" t="s">
        <v>15</v>
      </c>
      <c r="H11" t="s">
        <v>16</v>
      </c>
      <c r="I11" s="2">
        <v>7000</v>
      </c>
      <c r="J11" t="s">
        <v>24</v>
      </c>
    </row>
    <row r="12" spans="1:10" x14ac:dyDescent="0.3">
      <c r="A12">
        <v>11</v>
      </c>
      <c r="B12" t="s">
        <v>25</v>
      </c>
      <c r="C12" t="s">
        <v>63</v>
      </c>
      <c r="D12" t="s">
        <v>18</v>
      </c>
      <c r="E12" t="s">
        <v>39</v>
      </c>
      <c r="F12" t="s">
        <v>64</v>
      </c>
      <c r="G12" t="s">
        <v>21</v>
      </c>
      <c r="H12" t="s">
        <v>29</v>
      </c>
      <c r="I12" t="s">
        <v>65</v>
      </c>
      <c r="J12" t="s">
        <v>30</v>
      </c>
    </row>
    <row r="13" spans="1:10" x14ac:dyDescent="0.3">
      <c r="A13">
        <v>12</v>
      </c>
      <c r="B13" t="s">
        <v>37</v>
      </c>
      <c r="C13" t="s">
        <v>66</v>
      </c>
      <c r="D13" t="s">
        <v>12</v>
      </c>
      <c r="E13" t="s">
        <v>67</v>
      </c>
      <c r="F13" t="s">
        <v>68</v>
      </c>
      <c r="G13" t="s">
        <v>21</v>
      </c>
      <c r="H13" t="s">
        <v>69</v>
      </c>
      <c r="I13" t="s">
        <v>70</v>
      </c>
      <c r="J13" t="s">
        <v>30</v>
      </c>
    </row>
    <row r="14" spans="1:10" x14ac:dyDescent="0.3">
      <c r="A14">
        <v>13</v>
      </c>
      <c r="B14" t="s">
        <v>54</v>
      </c>
      <c r="C14" t="s">
        <v>71</v>
      </c>
      <c r="D14" t="s">
        <v>12</v>
      </c>
      <c r="E14" t="s">
        <v>72</v>
      </c>
      <c r="F14" t="s">
        <v>73</v>
      </c>
      <c r="G14" t="s">
        <v>35</v>
      </c>
      <c r="H14" t="s">
        <v>29</v>
      </c>
      <c r="I14" t="s">
        <v>74</v>
      </c>
      <c r="J14" t="s">
        <v>59</v>
      </c>
    </row>
    <row r="15" spans="1:10" x14ac:dyDescent="0.3">
      <c r="A15">
        <v>14</v>
      </c>
      <c r="B15" t="s">
        <v>10</v>
      </c>
      <c r="C15" t="s">
        <v>11</v>
      </c>
      <c r="D15" t="s">
        <v>26</v>
      </c>
      <c r="E15" t="s">
        <v>33</v>
      </c>
      <c r="F15" t="s">
        <v>20</v>
      </c>
      <c r="G15" t="s">
        <v>15</v>
      </c>
      <c r="H15" t="s">
        <v>75</v>
      </c>
      <c r="I15" t="s">
        <v>53</v>
      </c>
      <c r="J15" t="s">
        <v>76</v>
      </c>
    </row>
    <row r="16" spans="1:10" x14ac:dyDescent="0.3">
      <c r="A16">
        <v>15</v>
      </c>
      <c r="B16" t="s">
        <v>25</v>
      </c>
      <c r="C16" t="s">
        <v>43</v>
      </c>
      <c r="D16" t="s">
        <v>18</v>
      </c>
      <c r="E16" t="s">
        <v>19</v>
      </c>
      <c r="F16" t="s">
        <v>134</v>
      </c>
      <c r="G16" t="s">
        <v>21</v>
      </c>
      <c r="H16" t="s">
        <v>77</v>
      </c>
      <c r="I16" t="s">
        <v>78</v>
      </c>
      <c r="J16" t="s">
        <v>76</v>
      </c>
    </row>
    <row r="17" spans="1:10" x14ac:dyDescent="0.3">
      <c r="A17">
        <v>16</v>
      </c>
      <c r="B17" t="s">
        <v>37</v>
      </c>
      <c r="C17" t="s">
        <v>79</v>
      </c>
      <c r="D17" t="s">
        <v>12</v>
      </c>
      <c r="E17" t="s">
        <v>27</v>
      </c>
      <c r="F17" t="s">
        <v>80</v>
      </c>
      <c r="G17" t="s">
        <v>28</v>
      </c>
      <c r="H17" t="s">
        <v>29</v>
      </c>
      <c r="I17" t="s">
        <v>49</v>
      </c>
      <c r="J17" t="s">
        <v>30</v>
      </c>
    </row>
    <row r="18" spans="1:10" x14ac:dyDescent="0.3">
      <c r="A18">
        <v>17</v>
      </c>
      <c r="B18" t="s">
        <v>54</v>
      </c>
      <c r="C18" t="s">
        <v>81</v>
      </c>
      <c r="D18" t="s">
        <v>12</v>
      </c>
      <c r="E18" t="s">
        <v>56</v>
      </c>
      <c r="F18" t="s">
        <v>82</v>
      </c>
      <c r="G18" t="s">
        <v>83</v>
      </c>
      <c r="H18" t="s">
        <v>29</v>
      </c>
      <c r="I18" t="s">
        <v>84</v>
      </c>
      <c r="J18" t="s">
        <v>59</v>
      </c>
    </row>
    <row r="19" spans="1:10" x14ac:dyDescent="0.3">
      <c r="A19">
        <v>18</v>
      </c>
      <c r="B19" t="s">
        <v>10</v>
      </c>
      <c r="C19" t="s">
        <v>85</v>
      </c>
      <c r="D19" t="s">
        <v>32</v>
      </c>
      <c r="E19" t="s">
        <v>67</v>
      </c>
      <c r="F19" t="s">
        <v>86</v>
      </c>
      <c r="G19" t="s">
        <v>35</v>
      </c>
      <c r="H19" t="s">
        <v>87</v>
      </c>
      <c r="I19" t="s">
        <v>88</v>
      </c>
      <c r="J19" t="s">
        <v>76</v>
      </c>
    </row>
    <row r="20" spans="1:10" x14ac:dyDescent="0.3">
      <c r="A20">
        <v>19</v>
      </c>
      <c r="B20" t="s">
        <v>25</v>
      </c>
      <c r="C20" t="s">
        <v>89</v>
      </c>
      <c r="D20" t="s">
        <v>12</v>
      </c>
      <c r="E20" t="s">
        <v>13</v>
      </c>
      <c r="F20" t="s">
        <v>20</v>
      </c>
      <c r="G20" t="s">
        <v>15</v>
      </c>
      <c r="H20" t="s">
        <v>16</v>
      </c>
      <c r="I20" t="s">
        <v>90</v>
      </c>
      <c r="J20" t="s">
        <v>76</v>
      </c>
    </row>
    <row r="21" spans="1:10" x14ac:dyDescent="0.3">
      <c r="A21">
        <v>20</v>
      </c>
      <c r="B21" t="s">
        <v>37</v>
      </c>
      <c r="C21" t="s">
        <v>91</v>
      </c>
      <c r="D21" t="s">
        <v>18</v>
      </c>
      <c r="E21" t="s">
        <v>19</v>
      </c>
      <c r="F21" t="s">
        <v>92</v>
      </c>
      <c r="G21" t="s">
        <v>21</v>
      </c>
      <c r="H21" t="s">
        <v>69</v>
      </c>
      <c r="I21" t="s">
        <v>93</v>
      </c>
      <c r="J21" t="s">
        <v>76</v>
      </c>
    </row>
    <row r="22" spans="1:10" x14ac:dyDescent="0.3">
      <c r="A22">
        <v>21</v>
      </c>
      <c r="B22" t="s">
        <v>10</v>
      </c>
      <c r="C22" t="s">
        <v>11</v>
      </c>
      <c r="D22" t="s">
        <v>12</v>
      </c>
      <c r="E22" t="s">
        <v>39</v>
      </c>
      <c r="F22" t="s">
        <v>94</v>
      </c>
      <c r="G22" t="s">
        <v>35</v>
      </c>
      <c r="H22" t="s">
        <v>29</v>
      </c>
      <c r="I22" t="s">
        <v>95</v>
      </c>
      <c r="J22" t="s">
        <v>30</v>
      </c>
    </row>
    <row r="23" spans="1:10" x14ac:dyDescent="0.3">
      <c r="A23">
        <v>22</v>
      </c>
      <c r="B23" t="s">
        <v>25</v>
      </c>
      <c r="C23" t="s">
        <v>96</v>
      </c>
      <c r="D23" t="s">
        <v>47</v>
      </c>
      <c r="E23" t="s">
        <v>27</v>
      </c>
      <c r="F23" t="s">
        <v>97</v>
      </c>
      <c r="G23" t="s">
        <v>28</v>
      </c>
      <c r="H23" t="s">
        <v>29</v>
      </c>
      <c r="I23" t="s">
        <v>98</v>
      </c>
      <c r="J23" t="s">
        <v>30</v>
      </c>
    </row>
    <row r="24" spans="1:10" x14ac:dyDescent="0.3">
      <c r="A24">
        <v>23</v>
      </c>
      <c r="B24" t="s">
        <v>37</v>
      </c>
      <c r="C24" t="s">
        <v>99</v>
      </c>
      <c r="D24" t="s">
        <v>12</v>
      </c>
      <c r="E24" t="s">
        <v>56</v>
      </c>
      <c r="F24" t="s">
        <v>100</v>
      </c>
      <c r="G24" t="s">
        <v>83</v>
      </c>
      <c r="H24" t="s">
        <v>29</v>
      </c>
      <c r="I24" t="s">
        <v>101</v>
      </c>
      <c r="J24" t="s">
        <v>59</v>
      </c>
    </row>
    <row r="25" spans="1:10" x14ac:dyDescent="0.3">
      <c r="A25">
        <v>24</v>
      </c>
      <c r="B25" t="s">
        <v>54</v>
      </c>
      <c r="C25" t="s">
        <v>102</v>
      </c>
      <c r="D25" t="s">
        <v>18</v>
      </c>
      <c r="E25" t="s">
        <v>39</v>
      </c>
      <c r="F25" t="s">
        <v>103</v>
      </c>
      <c r="G25" t="s">
        <v>21</v>
      </c>
      <c r="H25" t="s">
        <v>52</v>
      </c>
      <c r="I25" t="s">
        <v>104</v>
      </c>
      <c r="J25" t="s">
        <v>30</v>
      </c>
    </row>
    <row r="26" spans="1:10" x14ac:dyDescent="0.3">
      <c r="A26">
        <v>25</v>
      </c>
      <c r="B26" t="s">
        <v>10</v>
      </c>
      <c r="C26" t="s">
        <v>105</v>
      </c>
      <c r="D26" t="s">
        <v>18</v>
      </c>
      <c r="E26" t="s">
        <v>19</v>
      </c>
      <c r="F26" t="s">
        <v>20</v>
      </c>
      <c r="G26" t="s">
        <v>15</v>
      </c>
      <c r="H26" t="s">
        <v>16</v>
      </c>
      <c r="I26" t="s">
        <v>106</v>
      </c>
      <c r="J26" t="s">
        <v>76</v>
      </c>
    </row>
    <row r="27" spans="1:10" x14ac:dyDescent="0.3">
      <c r="A27">
        <v>26</v>
      </c>
      <c r="B27" t="s">
        <v>25</v>
      </c>
      <c r="C27" t="s">
        <v>11</v>
      </c>
      <c r="D27" t="s">
        <v>12</v>
      </c>
      <c r="E27" t="s">
        <v>67</v>
      </c>
      <c r="F27" t="s">
        <v>107</v>
      </c>
      <c r="G27" t="s">
        <v>28</v>
      </c>
      <c r="H27" t="s">
        <v>29</v>
      </c>
      <c r="I27" t="s">
        <v>108</v>
      </c>
      <c r="J27" t="s">
        <v>30</v>
      </c>
    </row>
    <row r="28" spans="1:10" x14ac:dyDescent="0.3">
      <c r="A28">
        <v>27</v>
      </c>
      <c r="B28" t="s">
        <v>37</v>
      </c>
      <c r="C28" t="s">
        <v>109</v>
      </c>
      <c r="D28" t="s">
        <v>18</v>
      </c>
      <c r="E28" t="s">
        <v>33</v>
      </c>
      <c r="F28" t="s">
        <v>86</v>
      </c>
      <c r="G28" t="s">
        <v>35</v>
      </c>
      <c r="H28" t="s">
        <v>52</v>
      </c>
      <c r="I28" t="s">
        <v>65</v>
      </c>
      <c r="J28" t="s">
        <v>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D729-2EAB-4918-B0CD-B9D56BE717EC}">
  <dimension ref="A1:J28"/>
  <sheetViews>
    <sheetView topLeftCell="A7" zoomScale="86" workbookViewId="0">
      <selection activeCell="I28" sqref="I28"/>
    </sheetView>
  </sheetViews>
  <sheetFormatPr defaultRowHeight="14.4" x14ac:dyDescent="0.3"/>
  <cols>
    <col min="1" max="1" width="14.44140625" bestFit="1" customWidth="1"/>
    <col min="2" max="2" width="10.88671875" bestFit="1" customWidth="1"/>
    <col min="3" max="3" width="18.44140625" bestFit="1" customWidth="1"/>
    <col min="4" max="4" width="18.21875" bestFit="1" customWidth="1"/>
    <col min="5" max="5" width="21.33203125" bestFit="1" customWidth="1"/>
    <col min="6" max="6" width="21" bestFit="1" customWidth="1"/>
    <col min="7" max="7" width="16.5546875" bestFit="1" customWidth="1"/>
    <col min="8" max="8" width="15.109375" bestFit="1" customWidth="1"/>
    <col min="9" max="9" width="22.33203125" bestFit="1" customWidth="1"/>
    <col min="10" max="10" width="16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112</v>
      </c>
      <c r="J1" s="1" t="s">
        <v>113</v>
      </c>
    </row>
    <row r="2" spans="1:10" x14ac:dyDescent="0.3">
      <c r="A2" s="1">
        <f>eating_out_habits_raw_data[[#This Row],[Respondent_ID]]</f>
        <v>1</v>
      </c>
      <c r="B2" s="1" t="str">
        <f>eating_out_habits_raw_data[[#This Row],[Age_Group]]</f>
        <v>18-25</v>
      </c>
      <c r="C2" s="1" t="str">
        <f>eating_out_habits_raw_data[[#This Row],[Profession]]</f>
        <v>Student</v>
      </c>
      <c r="D2" s="1" t="s">
        <v>12</v>
      </c>
      <c r="E2" s="1">
        <v>4</v>
      </c>
      <c r="F2" s="1" t="s">
        <v>114</v>
      </c>
      <c r="G2" s="1" t="str">
        <f>eating_out_habits_raw_data[[#This Row],[Preferred_Source]]</f>
        <v>Food Apps</v>
      </c>
      <c r="H2" s="1" t="s">
        <v>115</v>
      </c>
      <c r="I2" s="5">
        <v>2000</v>
      </c>
      <c r="J2" s="1" t="s">
        <v>76</v>
      </c>
    </row>
    <row r="3" spans="1:10" x14ac:dyDescent="0.3">
      <c r="A3" s="1">
        <f>eating_out_habits_raw_data[[#This Row],[Respondent_ID]]</f>
        <v>2</v>
      </c>
      <c r="B3" s="1" t="str">
        <f>eating_out_habits_raw_data[[#This Row],[Age_Group]]</f>
        <v>18-25</v>
      </c>
      <c r="C3" s="1" t="str">
        <f>eating_out_habits_raw_data[[#This Row],[Profession]]</f>
        <v>Student</v>
      </c>
      <c r="D3" s="1" t="s">
        <v>18</v>
      </c>
      <c r="E3" s="1">
        <v>7</v>
      </c>
      <c r="F3" s="1" t="s">
        <v>114</v>
      </c>
      <c r="G3" s="1" t="str">
        <f>eating_out_habits_raw_data[[#This Row],[Preferred_Source]]</f>
        <v>Restaurants</v>
      </c>
      <c r="H3" s="1" t="s">
        <v>116</v>
      </c>
      <c r="I3" s="5">
        <v>4500</v>
      </c>
      <c r="J3" s="1" t="s">
        <v>76</v>
      </c>
    </row>
    <row r="4" spans="1:10" x14ac:dyDescent="0.3">
      <c r="A4" s="1">
        <f>eating_out_habits_raw_data[[#This Row],[Respondent_ID]]</f>
        <v>3</v>
      </c>
      <c r="B4" s="1" t="str">
        <f>eating_out_habits_raw_data[[#This Row],[Age_Group]]</f>
        <v>26-35</v>
      </c>
      <c r="C4" s="1" t="str">
        <f>eating_out_habits_raw_data[[#This Row],[Profession]]</f>
        <v>Agriculture</v>
      </c>
      <c r="D4" s="1" t="s">
        <v>26</v>
      </c>
      <c r="E4" s="1">
        <v>1</v>
      </c>
      <c r="F4" s="1" t="s">
        <v>107</v>
      </c>
      <c r="G4" s="1" t="str">
        <f>eating_out_habits_raw_data[[#This Row],[Preferred_Source]]</f>
        <v>Street Vendors</v>
      </c>
      <c r="H4" s="1" t="s">
        <v>29</v>
      </c>
      <c r="I4" s="5">
        <v>1200</v>
      </c>
      <c r="J4" s="1" t="s">
        <v>30</v>
      </c>
    </row>
    <row r="5" spans="1:10" x14ac:dyDescent="0.3">
      <c r="A5" s="1">
        <f>eating_out_habits_raw_data[[#This Row],[Respondent_ID]]</f>
        <v>4</v>
      </c>
      <c r="B5" s="1" t="str">
        <f>eating_out_habits_raw_data[[#This Row],[Age_Group]]</f>
        <v>26-35</v>
      </c>
      <c r="C5" s="1" t="str">
        <f>eating_out_habits_raw_data[[#This Row],[Profession]]</f>
        <v>Marketing Executive</v>
      </c>
      <c r="D5" s="1" t="s">
        <v>18</v>
      </c>
      <c r="E5" s="1">
        <v>3</v>
      </c>
      <c r="F5" s="1" t="s">
        <v>117</v>
      </c>
      <c r="G5" s="1" t="str">
        <f>eating_out_habits_raw_data[[#This Row],[Preferred_Source]]</f>
        <v>Street Vendors</v>
      </c>
      <c r="H5" s="1" t="s">
        <v>118</v>
      </c>
      <c r="I5" s="5">
        <v>4000</v>
      </c>
      <c r="J5" s="1" t="s">
        <v>76</v>
      </c>
    </row>
    <row r="6" spans="1:10" x14ac:dyDescent="0.3">
      <c r="A6" s="1">
        <f>eating_out_habits_raw_data[[#This Row],[Respondent_ID]]</f>
        <v>5</v>
      </c>
      <c r="B6" s="1" t="str">
        <f>eating_out_habits_raw_data[[#This Row],[Age_Group]]</f>
        <v>36-45</v>
      </c>
      <c r="C6" s="1" t="str">
        <f>eating_out_habits_raw_data[[#This Row],[Profession]]</f>
        <v>Teacher</v>
      </c>
      <c r="D6" s="1" t="s">
        <v>12</v>
      </c>
      <c r="E6" s="1">
        <v>1</v>
      </c>
      <c r="F6" s="1" t="s">
        <v>119</v>
      </c>
      <c r="G6" s="1" t="str">
        <f>eating_out_habits_raw_data[[#This Row],[Preferred_Source]]</f>
        <v>Restaurants</v>
      </c>
      <c r="H6" s="1" t="s">
        <v>29</v>
      </c>
      <c r="I6" s="5">
        <v>1500</v>
      </c>
      <c r="J6" s="1" t="s">
        <v>59</v>
      </c>
    </row>
    <row r="7" spans="1:10" x14ac:dyDescent="0.3">
      <c r="A7" s="1">
        <f>eating_out_habits_raw_data[[#This Row],[Respondent_ID]]</f>
        <v>6</v>
      </c>
      <c r="B7" s="1" t="str">
        <f>eating_out_habits_raw_data[[#This Row],[Age_Group]]</f>
        <v>36-45</v>
      </c>
      <c r="C7" s="1" t="str">
        <f>eating_out_habits_raw_data[[#This Row],[Profession]]</f>
        <v>Business Owner</v>
      </c>
      <c r="D7" s="1" t="s">
        <v>18</v>
      </c>
      <c r="E7" s="1">
        <v>7</v>
      </c>
      <c r="F7" s="1" t="s">
        <v>120</v>
      </c>
      <c r="G7" s="1" t="str">
        <f>eating_out_habits_raw_data[[#This Row],[Preferred_Source]]</f>
        <v>Restaurants</v>
      </c>
      <c r="H7" s="1" t="s">
        <v>121</v>
      </c>
      <c r="I7" s="5">
        <v>8000</v>
      </c>
      <c r="J7" s="1" t="s">
        <v>76</v>
      </c>
    </row>
    <row r="8" spans="1:10" x14ac:dyDescent="0.3">
      <c r="A8" s="1">
        <f>eating_out_habits_raw_data[[#This Row],[Respondent_ID]]</f>
        <v>7</v>
      </c>
      <c r="B8" s="1" t="str">
        <f>eating_out_habits_raw_data[[#This Row],[Age_Group]]</f>
        <v>18-25</v>
      </c>
      <c r="C8" s="1" t="str">
        <f>eating_out_habits_raw_data[[#This Row],[Profession]]</f>
        <v>College Student</v>
      </c>
      <c r="D8" s="1" t="s">
        <v>47</v>
      </c>
      <c r="E8" s="1">
        <v>1</v>
      </c>
      <c r="F8" s="1" t="s">
        <v>122</v>
      </c>
      <c r="G8" s="1" t="str">
        <f>eating_out_habits_raw_data[[#This Row],[Preferred_Source]]</f>
        <v>Cafes</v>
      </c>
      <c r="H8" s="1" t="s">
        <v>29</v>
      </c>
      <c r="I8" s="5">
        <v>2000</v>
      </c>
      <c r="J8" s="1" t="s">
        <v>30</v>
      </c>
    </row>
    <row r="9" spans="1:10" x14ac:dyDescent="0.3">
      <c r="A9" s="1">
        <f>eating_out_habits_raw_data[[#This Row],[Respondent_ID]]</f>
        <v>8</v>
      </c>
      <c r="B9" s="1" t="str">
        <f>eating_out_habits_raw_data[[#This Row],[Age_Group]]</f>
        <v>26-35</v>
      </c>
      <c r="C9" s="1" t="str">
        <f>eating_out_habits_raw_data[[#This Row],[Profession]]</f>
        <v>HR Executive</v>
      </c>
      <c r="D9" s="1" t="s">
        <v>12</v>
      </c>
      <c r="E9" s="1">
        <v>3</v>
      </c>
      <c r="F9" s="1" t="s">
        <v>123</v>
      </c>
      <c r="G9" s="1" t="str">
        <f>eating_out_habits_raw_data[[#This Row],[Preferred_Source]]</f>
        <v>Food Apps</v>
      </c>
      <c r="H9" s="1" t="s">
        <v>52</v>
      </c>
      <c r="I9" s="5">
        <v>3500</v>
      </c>
      <c r="J9" s="1" t="s">
        <v>76</v>
      </c>
    </row>
    <row r="10" spans="1:10" x14ac:dyDescent="0.3">
      <c r="A10" s="1">
        <f>eating_out_habits_raw_data[[#This Row],[Respondent_ID]]</f>
        <v>9</v>
      </c>
      <c r="B10" s="1" t="str">
        <f>eating_out_habits_raw_data[[#This Row],[Age_Group]]</f>
        <v>46-55</v>
      </c>
      <c r="C10" s="1" t="str">
        <f>eating_out_habits_raw_data[[#This Row],[Profession]]</f>
        <v>Govt Employee</v>
      </c>
      <c r="D10" s="1" t="s">
        <v>12</v>
      </c>
      <c r="E10" s="1">
        <v>1</v>
      </c>
      <c r="F10" s="1" t="s">
        <v>124</v>
      </c>
      <c r="G10" s="1" t="str">
        <f>eating_out_habits_raw_data[[#This Row],[Preferred_Source]]</f>
        <v>Restaurants</v>
      </c>
      <c r="H10" s="1" t="s">
        <v>29</v>
      </c>
      <c r="I10" s="5">
        <v>800</v>
      </c>
      <c r="J10" s="1" t="s">
        <v>59</v>
      </c>
    </row>
    <row r="11" spans="1:10" x14ac:dyDescent="0.3">
      <c r="A11" s="1">
        <f>eating_out_habits_raw_data[[#This Row],[Respondent_ID]]</f>
        <v>10</v>
      </c>
      <c r="B11" s="1" t="str">
        <f>eating_out_habits_raw_data[[#This Row],[Age_Group]]</f>
        <v>18-25</v>
      </c>
      <c r="C11" s="1" t="str">
        <f>eating_out_habits_raw_data[[#This Row],[Profession]]</f>
        <v>Freelancer</v>
      </c>
      <c r="D11" s="1" t="s">
        <v>18</v>
      </c>
      <c r="E11" s="1">
        <v>5</v>
      </c>
      <c r="F11" s="1" t="s">
        <v>114</v>
      </c>
      <c r="G11" s="1" t="str">
        <f>eating_out_habits_raw_data[[#This Row],[Preferred_Source]]</f>
        <v>Food Apps</v>
      </c>
      <c r="H11" s="1" t="s">
        <v>115</v>
      </c>
      <c r="I11" s="5">
        <v>7000</v>
      </c>
      <c r="J11" s="1" t="s">
        <v>76</v>
      </c>
    </row>
    <row r="12" spans="1:10" x14ac:dyDescent="0.3">
      <c r="A12" s="1">
        <f>eating_out_habits_raw_data[[#This Row],[Respondent_ID]]</f>
        <v>11</v>
      </c>
      <c r="B12" s="1" t="str">
        <f>eating_out_habits_raw_data[[#This Row],[Age_Group]]</f>
        <v>26-35</v>
      </c>
      <c r="C12" s="1" t="str">
        <f>eating_out_habits_raw_data[[#This Row],[Profession]]</f>
        <v>Doctor</v>
      </c>
      <c r="D12" s="1" t="s">
        <v>18</v>
      </c>
      <c r="E12" s="1">
        <v>1</v>
      </c>
      <c r="F12" s="1" t="s">
        <v>125</v>
      </c>
      <c r="G12" s="1" t="str">
        <f>eating_out_habits_raw_data[[#This Row],[Preferred_Source]]</f>
        <v>Restaurants</v>
      </c>
      <c r="H12" s="1" t="s">
        <v>29</v>
      </c>
      <c r="I12" s="5">
        <v>3000</v>
      </c>
      <c r="J12" s="1" t="s">
        <v>30</v>
      </c>
    </row>
    <row r="13" spans="1:10" x14ac:dyDescent="0.3">
      <c r="A13" s="1">
        <f>eating_out_habits_raw_data[[#This Row],[Respondent_ID]]</f>
        <v>12</v>
      </c>
      <c r="B13" s="1" t="str">
        <f>eating_out_habits_raw_data[[#This Row],[Age_Group]]</f>
        <v>36-45</v>
      </c>
      <c r="C13" s="1" t="str">
        <f>eating_out_habits_raw_data[[#This Row],[Profession]]</f>
        <v>Lawyer</v>
      </c>
      <c r="D13" s="1" t="s">
        <v>12</v>
      </c>
      <c r="E13" s="1">
        <v>2</v>
      </c>
      <c r="F13" s="1" t="s">
        <v>68</v>
      </c>
      <c r="G13" s="1" t="str">
        <f>eating_out_habits_raw_data[[#This Row],[Preferred_Source]]</f>
        <v>Restaurants</v>
      </c>
      <c r="H13" s="1" t="s">
        <v>69</v>
      </c>
      <c r="I13" s="5">
        <v>2800</v>
      </c>
      <c r="J13" s="1" t="s">
        <v>30</v>
      </c>
    </row>
    <row r="14" spans="1:10" x14ac:dyDescent="0.3">
      <c r="A14" s="1">
        <f>eating_out_habits_raw_data[[#This Row],[Respondent_ID]]</f>
        <v>13</v>
      </c>
      <c r="B14" s="1" t="str">
        <f>eating_out_habits_raw_data[[#This Row],[Age_Group]]</f>
        <v>46-55</v>
      </c>
      <c r="C14" s="1" t="str">
        <f>eating_out_habits_raw_data[[#This Row],[Profession]]</f>
        <v>Shopkeeper</v>
      </c>
      <c r="D14" s="1" t="s">
        <v>12</v>
      </c>
      <c r="E14" s="1">
        <v>1</v>
      </c>
      <c r="F14" s="1" t="s">
        <v>126</v>
      </c>
      <c r="G14" s="1" t="str">
        <f>eating_out_habits_raw_data[[#This Row],[Preferred_Source]]</f>
        <v>Street Vendors</v>
      </c>
      <c r="H14" s="1" t="s">
        <v>29</v>
      </c>
      <c r="I14" s="5">
        <v>500</v>
      </c>
      <c r="J14" s="1" t="s">
        <v>59</v>
      </c>
    </row>
    <row r="15" spans="1:10" x14ac:dyDescent="0.3">
      <c r="A15" s="1">
        <f>eating_out_habits_raw_data[[#This Row],[Respondent_ID]]</f>
        <v>14</v>
      </c>
      <c r="B15" s="1" t="str">
        <f>eating_out_habits_raw_data[[#This Row],[Age_Group]]</f>
        <v>18-25</v>
      </c>
      <c r="C15" s="1" t="str">
        <f>eating_out_habits_raw_data[[#This Row],[Profession]]</f>
        <v>Student</v>
      </c>
      <c r="D15" s="1" t="s">
        <v>26</v>
      </c>
      <c r="E15" s="1">
        <v>3</v>
      </c>
      <c r="F15" s="1" t="s">
        <v>114</v>
      </c>
      <c r="G15" s="1" t="str">
        <f>eating_out_habits_raw_data[[#This Row],[Preferred_Source]]</f>
        <v>Food Apps</v>
      </c>
      <c r="H15" s="1" t="s">
        <v>127</v>
      </c>
      <c r="I15" s="5">
        <v>3500</v>
      </c>
      <c r="J15" s="1" t="s">
        <v>76</v>
      </c>
    </row>
    <row r="16" spans="1:10" x14ac:dyDescent="0.3">
      <c r="A16" s="1">
        <f>eating_out_habits_raw_data[[#This Row],[Respondent_ID]]</f>
        <v>15</v>
      </c>
      <c r="B16" s="1" t="str">
        <f>eating_out_habits_raw_data[[#This Row],[Age_Group]]</f>
        <v>26-35</v>
      </c>
      <c r="C16" s="1" t="str">
        <f>eating_out_habits_raw_data[[#This Row],[Profession]]</f>
        <v>Business Owner</v>
      </c>
      <c r="D16" s="1" t="s">
        <v>18</v>
      </c>
      <c r="E16" s="1">
        <v>7</v>
      </c>
      <c r="F16" s="1" t="s">
        <v>107</v>
      </c>
      <c r="G16" s="1" t="str">
        <f>eating_out_habits_raw_data[[#This Row],[Preferred_Source]]</f>
        <v>Restaurants</v>
      </c>
      <c r="H16" s="1" t="s">
        <v>128</v>
      </c>
      <c r="I16" s="5">
        <v>7000</v>
      </c>
      <c r="J16" s="1" t="s">
        <v>76</v>
      </c>
    </row>
    <row r="17" spans="1:10" x14ac:dyDescent="0.3">
      <c r="A17" s="1">
        <f>eating_out_habits_raw_data[[#This Row],[Respondent_ID]]</f>
        <v>16</v>
      </c>
      <c r="B17" s="1" t="str">
        <f>eating_out_habits_raw_data[[#This Row],[Age_Group]]</f>
        <v>36-45</v>
      </c>
      <c r="C17" s="1" t="str">
        <f>eating_out_habits_raw_data[[#This Row],[Profession]]</f>
        <v>Accountant</v>
      </c>
      <c r="D17" s="1" t="s">
        <v>12</v>
      </c>
      <c r="E17" s="1">
        <v>2</v>
      </c>
      <c r="F17" s="1" t="s">
        <v>129</v>
      </c>
      <c r="G17" s="1" t="str">
        <f>eating_out_habits_raw_data[[#This Row],[Preferred_Source]]</f>
        <v>Cafes</v>
      </c>
      <c r="H17" s="1" t="s">
        <v>29</v>
      </c>
      <c r="I17" s="5">
        <v>2000</v>
      </c>
      <c r="J17" s="1" t="s">
        <v>30</v>
      </c>
    </row>
    <row r="18" spans="1:10" x14ac:dyDescent="0.3">
      <c r="A18" s="1">
        <f>eating_out_habits_raw_data[[#This Row],[Respondent_ID]]</f>
        <v>17</v>
      </c>
      <c r="B18" s="1" t="str">
        <f>eating_out_habits_raw_data[[#This Row],[Age_Group]]</f>
        <v>46-55</v>
      </c>
      <c r="C18" s="1" t="str">
        <f>eating_out_habits_raw_data[[#This Row],[Profession]]</f>
        <v>Retired</v>
      </c>
      <c r="D18" s="1" t="s">
        <v>12</v>
      </c>
      <c r="E18" s="1">
        <v>1</v>
      </c>
      <c r="F18" s="1" t="s">
        <v>130</v>
      </c>
      <c r="G18" s="1" t="str">
        <f>eating_out_habits_raw_data[[#This Row],[Preferred_Source]]</f>
        <v>Home</v>
      </c>
      <c r="H18" s="1" t="s">
        <v>29</v>
      </c>
      <c r="I18" s="5">
        <v>300</v>
      </c>
      <c r="J18" s="1" t="s">
        <v>59</v>
      </c>
    </row>
    <row r="19" spans="1:10" x14ac:dyDescent="0.3">
      <c r="A19" s="1">
        <f>eating_out_habits_raw_data[[#This Row],[Respondent_ID]]</f>
        <v>18</v>
      </c>
      <c r="B19" s="1" t="str">
        <f>eating_out_habits_raw_data[[#This Row],[Age_Group]]</f>
        <v>18-25</v>
      </c>
      <c r="C19" s="1" t="str">
        <f>eating_out_habits_raw_data[[#This Row],[Profession]]</f>
        <v>Intern</v>
      </c>
      <c r="D19" s="1" t="s">
        <v>18</v>
      </c>
      <c r="E19" s="1">
        <v>2</v>
      </c>
      <c r="F19" s="1" t="s">
        <v>117</v>
      </c>
      <c r="G19" s="1" t="str">
        <f>eating_out_habits_raw_data[[#This Row],[Preferred_Source]]</f>
        <v>Street Vendors</v>
      </c>
      <c r="H19" s="1" t="s">
        <v>131</v>
      </c>
      <c r="I19" s="5">
        <v>1800</v>
      </c>
      <c r="J19" s="1" t="s">
        <v>76</v>
      </c>
    </row>
    <row r="20" spans="1:10" x14ac:dyDescent="0.3">
      <c r="A20" s="1">
        <f>eating_out_habits_raw_data[[#This Row],[Respondent_ID]]</f>
        <v>19</v>
      </c>
      <c r="B20" s="1" t="str">
        <f>eating_out_habits_raw_data[[#This Row],[Age_Group]]</f>
        <v>26-35</v>
      </c>
      <c r="C20" s="1" t="str">
        <f>eating_out_habits_raw_data[[#This Row],[Profession]]</f>
        <v>Sales Executive</v>
      </c>
      <c r="D20" s="1" t="s">
        <v>12</v>
      </c>
      <c r="E20" s="1">
        <v>4</v>
      </c>
      <c r="F20" s="1" t="s">
        <v>114</v>
      </c>
      <c r="G20" s="1" t="str">
        <f>eating_out_habits_raw_data[[#This Row],[Preferred_Source]]</f>
        <v>Food Apps</v>
      </c>
      <c r="H20" s="1" t="s">
        <v>115</v>
      </c>
      <c r="I20" s="5">
        <v>4200</v>
      </c>
      <c r="J20" s="1" t="s">
        <v>76</v>
      </c>
    </row>
    <row r="21" spans="1:10" x14ac:dyDescent="0.3">
      <c r="A21" s="1">
        <f>eating_out_habits_raw_data[[#This Row],[Respondent_ID]]</f>
        <v>20</v>
      </c>
      <c r="B21" s="1" t="str">
        <f>eating_out_habits_raw_data[[#This Row],[Age_Group]]</f>
        <v>36-45</v>
      </c>
      <c r="C21" s="1" t="str">
        <f>eating_out_habits_raw_data[[#This Row],[Profession]]</f>
        <v>Operations Manager</v>
      </c>
      <c r="D21" s="1" t="s">
        <v>18</v>
      </c>
      <c r="E21" s="1">
        <v>7</v>
      </c>
      <c r="F21" s="1" t="s">
        <v>132</v>
      </c>
      <c r="G21" s="1" t="str">
        <f>eating_out_habits_raw_data[[#This Row],[Preferred_Source]]</f>
        <v>Restaurants</v>
      </c>
      <c r="H21" s="1" t="s">
        <v>69</v>
      </c>
      <c r="I21" s="5">
        <v>6500</v>
      </c>
      <c r="J21" s="1" t="s">
        <v>76</v>
      </c>
    </row>
    <row r="22" spans="1:10" x14ac:dyDescent="0.3">
      <c r="A22" s="1">
        <f>eating_out_habits_raw_data[[#This Row],[Respondent_ID]]</f>
        <v>21</v>
      </c>
      <c r="B22" s="1" t="str">
        <f>eating_out_habits_raw_data[[#This Row],[Age_Group]]</f>
        <v>18-25</v>
      </c>
      <c r="C22" s="1" t="str">
        <f>eating_out_habits_raw_data[[#This Row],[Profession]]</f>
        <v>Student</v>
      </c>
      <c r="D22" s="1" t="s">
        <v>12</v>
      </c>
      <c r="E22" s="1">
        <v>1</v>
      </c>
      <c r="F22" s="1" t="s">
        <v>123</v>
      </c>
      <c r="G22" s="1" t="str">
        <f>eating_out_habits_raw_data[[#This Row],[Preferred_Source]]</f>
        <v>Street Vendors</v>
      </c>
      <c r="H22" s="1" t="s">
        <v>29</v>
      </c>
      <c r="I22" s="5">
        <v>1200</v>
      </c>
      <c r="J22" s="1" t="s">
        <v>30</v>
      </c>
    </row>
    <row r="23" spans="1:10" x14ac:dyDescent="0.3">
      <c r="A23" s="1">
        <f>eating_out_habits_raw_data[[#This Row],[Respondent_ID]]</f>
        <v>22</v>
      </c>
      <c r="B23" s="1" t="str">
        <f>eating_out_habits_raw_data[[#This Row],[Age_Group]]</f>
        <v>26-35</v>
      </c>
      <c r="C23" s="1" t="str">
        <f>eating_out_habits_raw_data[[#This Row],[Profession]]</f>
        <v>Content Writer</v>
      </c>
      <c r="D23" s="1" t="s">
        <v>47</v>
      </c>
      <c r="E23" s="1">
        <v>2</v>
      </c>
      <c r="F23" s="1" t="s">
        <v>122</v>
      </c>
      <c r="G23" s="1" t="str">
        <f>eating_out_habits_raw_data[[#This Row],[Preferred_Source]]</f>
        <v>Cafes</v>
      </c>
      <c r="H23" s="1" t="s">
        <v>29</v>
      </c>
      <c r="I23" s="5">
        <v>2300</v>
      </c>
      <c r="J23" s="1" t="s">
        <v>30</v>
      </c>
    </row>
    <row r="24" spans="1:10" x14ac:dyDescent="0.3">
      <c r="A24" s="1">
        <f>eating_out_habits_raw_data[[#This Row],[Respondent_ID]]</f>
        <v>23</v>
      </c>
      <c r="B24" s="1" t="str">
        <f>eating_out_habits_raw_data[[#This Row],[Age_Group]]</f>
        <v>36-45</v>
      </c>
      <c r="C24" s="1" t="str">
        <f>eating_out_habits_raw_data[[#This Row],[Profession]]</f>
        <v>Homemaker</v>
      </c>
      <c r="D24" s="1" t="s">
        <v>12</v>
      </c>
      <c r="E24" s="1">
        <v>1</v>
      </c>
      <c r="F24" s="1" t="s">
        <v>126</v>
      </c>
      <c r="G24" s="1" t="str">
        <f>eating_out_habits_raw_data[[#This Row],[Preferred_Source]]</f>
        <v>Home</v>
      </c>
      <c r="H24" s="1" t="s">
        <v>29</v>
      </c>
      <c r="I24" s="5">
        <v>400</v>
      </c>
      <c r="J24" s="1" t="s">
        <v>59</v>
      </c>
    </row>
    <row r="25" spans="1:10" x14ac:dyDescent="0.3">
      <c r="A25" s="1">
        <f>eating_out_habits_raw_data[[#This Row],[Respondent_ID]]</f>
        <v>24</v>
      </c>
      <c r="B25" s="1" t="str">
        <f>eating_out_habits_raw_data[[#This Row],[Age_Group]]</f>
        <v>46-55</v>
      </c>
      <c r="C25" s="1" t="str">
        <f>eating_out_habits_raw_data[[#This Row],[Profession]]</f>
        <v>Consultant</v>
      </c>
      <c r="D25" s="1" t="s">
        <v>18</v>
      </c>
      <c r="E25" s="1">
        <v>1</v>
      </c>
      <c r="F25" s="1" t="s">
        <v>133</v>
      </c>
      <c r="G25" s="1" t="str">
        <f>eating_out_habits_raw_data[[#This Row],[Preferred_Source]]</f>
        <v>Restaurants</v>
      </c>
      <c r="H25" s="1" t="s">
        <v>52</v>
      </c>
      <c r="I25" s="5">
        <v>2200</v>
      </c>
      <c r="J25" s="1" t="s">
        <v>30</v>
      </c>
    </row>
    <row r="26" spans="1:10" x14ac:dyDescent="0.3">
      <c r="A26" s="1">
        <f>eating_out_habits_raw_data[[#This Row],[Respondent_ID]]</f>
        <v>25</v>
      </c>
      <c r="B26" s="1" t="str">
        <f>eating_out_habits_raw_data[[#This Row],[Age_Group]]</f>
        <v>18-25</v>
      </c>
      <c r="C26" s="1" t="str">
        <f>eating_out_habits_raw_data[[#This Row],[Profession]]</f>
        <v>Gamer</v>
      </c>
      <c r="D26" s="1" t="s">
        <v>18</v>
      </c>
      <c r="E26" s="1">
        <v>7</v>
      </c>
      <c r="F26" s="1" t="s">
        <v>114</v>
      </c>
      <c r="G26" s="1" t="str">
        <f>eating_out_habits_raw_data[[#This Row],[Preferred_Source]]</f>
        <v>Food Apps</v>
      </c>
      <c r="H26" s="1" t="s">
        <v>115</v>
      </c>
      <c r="I26" s="5">
        <v>5500</v>
      </c>
      <c r="J26" s="1" t="s">
        <v>76</v>
      </c>
    </row>
    <row r="27" spans="1:10" x14ac:dyDescent="0.3">
      <c r="A27" s="1">
        <f>eating_out_habits_raw_data[[#This Row],[Respondent_ID]]</f>
        <v>26</v>
      </c>
      <c r="B27" s="1" t="str">
        <f>eating_out_habits_raw_data[[#This Row],[Age_Group]]</f>
        <v>26-35</v>
      </c>
      <c r="C27" s="1" t="str">
        <f>eating_out_habits_raw_data[[#This Row],[Profession]]</f>
        <v>Student</v>
      </c>
      <c r="D27" s="1" t="s">
        <v>12</v>
      </c>
      <c r="E27" s="1">
        <v>2</v>
      </c>
      <c r="F27" s="1" t="s">
        <v>107</v>
      </c>
      <c r="G27" s="1" t="str">
        <f>eating_out_habits_raw_data[[#This Row],[Preferred_Source]]</f>
        <v>Cafes</v>
      </c>
      <c r="H27" s="1" t="s">
        <v>29</v>
      </c>
      <c r="I27" s="5">
        <v>2600</v>
      </c>
      <c r="J27" s="1" t="s">
        <v>30</v>
      </c>
    </row>
    <row r="28" spans="1:10" x14ac:dyDescent="0.3">
      <c r="A28" s="1">
        <f>eating_out_habits_raw_data[[#This Row],[Respondent_ID]]</f>
        <v>27</v>
      </c>
      <c r="B28" s="1" t="str">
        <f>eating_out_habits_raw_data[[#This Row],[Age_Group]]</f>
        <v>36-45</v>
      </c>
      <c r="C28" s="1" t="str">
        <f>eating_out_habits_raw_data[[#This Row],[Profession]]</f>
        <v>Factory Supervisor</v>
      </c>
      <c r="D28" s="1" t="s">
        <v>18</v>
      </c>
      <c r="E28" s="1">
        <v>3</v>
      </c>
      <c r="F28" s="1" t="s">
        <v>117</v>
      </c>
      <c r="G28" s="1" t="str">
        <f>eating_out_habits_raw_data[[#This Row],[Preferred_Source]]</f>
        <v>Street Vendors</v>
      </c>
      <c r="H28" s="1" t="s">
        <v>52</v>
      </c>
      <c r="I28" s="5">
        <v>3000</v>
      </c>
      <c r="J28" s="1" t="s">
        <v>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37BA-091B-44B3-B0FD-8358C70674A8}">
  <dimension ref="A3:K26"/>
  <sheetViews>
    <sheetView tabSelected="1" zoomScale="97" workbookViewId="0">
      <selection activeCell="A34" sqref="A34"/>
    </sheetView>
  </sheetViews>
  <sheetFormatPr defaultRowHeight="14.4" x14ac:dyDescent="0.3"/>
  <cols>
    <col min="1" max="1" width="21.44140625" bestFit="1" customWidth="1"/>
    <col min="2" max="2" width="22" bestFit="1" customWidth="1"/>
    <col min="4" max="4" width="12.6640625" bestFit="1" customWidth="1"/>
    <col min="5" max="5" width="31.21875" bestFit="1" customWidth="1"/>
    <col min="6" max="6" width="9" customWidth="1"/>
    <col min="7" max="7" width="12.6640625" bestFit="1" customWidth="1"/>
    <col min="8" max="8" width="22" bestFit="1" customWidth="1"/>
    <col min="10" max="10" width="14.44140625" bestFit="1" customWidth="1"/>
    <col min="11" max="11" width="30.21875" bestFit="1" customWidth="1"/>
  </cols>
  <sheetData>
    <row r="3" spans="1:11" x14ac:dyDescent="0.3">
      <c r="A3" s="6" t="s">
        <v>141</v>
      </c>
      <c r="B3" s="1" t="s">
        <v>139</v>
      </c>
      <c r="D3" s="6" t="s">
        <v>1</v>
      </c>
      <c r="E3" s="1" t="s">
        <v>140</v>
      </c>
      <c r="G3" s="6" t="s">
        <v>142</v>
      </c>
      <c r="H3" s="1" t="s">
        <v>139</v>
      </c>
    </row>
    <row r="4" spans="1:11" x14ac:dyDescent="0.3">
      <c r="A4" s="4">
        <v>1</v>
      </c>
      <c r="B4" s="1">
        <v>10</v>
      </c>
      <c r="D4" s="4" t="s">
        <v>10</v>
      </c>
      <c r="E4" s="1">
        <v>3.75</v>
      </c>
      <c r="G4" s="4" t="s">
        <v>114</v>
      </c>
      <c r="H4" s="1">
        <v>6</v>
      </c>
      <c r="J4" s="6" t="s">
        <v>137</v>
      </c>
      <c r="K4" s="1" t="s">
        <v>140</v>
      </c>
    </row>
    <row r="5" spans="1:11" x14ac:dyDescent="0.3">
      <c r="A5" s="4">
        <v>2</v>
      </c>
      <c r="B5" s="1">
        <v>5</v>
      </c>
      <c r="D5" s="4" t="s">
        <v>25</v>
      </c>
      <c r="E5" s="1">
        <v>2.875</v>
      </c>
      <c r="G5" s="4" t="s">
        <v>133</v>
      </c>
      <c r="H5" s="1">
        <v>1</v>
      </c>
      <c r="J5" s="4" t="s">
        <v>52</v>
      </c>
      <c r="K5" s="1">
        <v>2.3333333333333335</v>
      </c>
    </row>
    <row r="6" spans="1:11" x14ac:dyDescent="0.3">
      <c r="A6" s="4">
        <v>3</v>
      </c>
      <c r="B6" s="1">
        <v>4</v>
      </c>
      <c r="D6" s="4" t="s">
        <v>37</v>
      </c>
      <c r="E6" s="1">
        <v>3.2857142857142856</v>
      </c>
      <c r="G6" s="4" t="s">
        <v>122</v>
      </c>
      <c r="H6" s="1">
        <v>2</v>
      </c>
      <c r="J6" s="4" t="s">
        <v>127</v>
      </c>
      <c r="K6" s="1">
        <v>3</v>
      </c>
    </row>
    <row r="7" spans="1:11" x14ac:dyDescent="0.3">
      <c r="A7" s="4">
        <v>4</v>
      </c>
      <c r="B7" s="1">
        <v>2</v>
      </c>
      <c r="D7" s="4" t="s">
        <v>54</v>
      </c>
      <c r="E7" s="1">
        <v>1</v>
      </c>
      <c r="G7" s="4" t="s">
        <v>107</v>
      </c>
      <c r="H7" s="1">
        <v>3</v>
      </c>
      <c r="J7" s="4" t="s">
        <v>69</v>
      </c>
      <c r="K7" s="1">
        <v>4.5</v>
      </c>
    </row>
    <row r="8" spans="1:11" x14ac:dyDescent="0.3">
      <c r="A8" s="4">
        <v>5</v>
      </c>
      <c r="B8" s="1">
        <v>1</v>
      </c>
      <c r="D8" s="4" t="s">
        <v>138</v>
      </c>
      <c r="E8" s="1">
        <v>2.9629629629629628</v>
      </c>
      <c r="G8" s="4" t="s">
        <v>119</v>
      </c>
      <c r="H8" s="1">
        <v>1</v>
      </c>
      <c r="J8" s="4" t="s">
        <v>121</v>
      </c>
      <c r="K8" s="1">
        <v>7</v>
      </c>
    </row>
    <row r="9" spans="1:11" ht="13.2" customHeight="1" x14ac:dyDescent="0.3">
      <c r="A9" s="4">
        <v>7</v>
      </c>
      <c r="B9" s="1">
        <v>5</v>
      </c>
      <c r="G9" s="4" t="s">
        <v>129</v>
      </c>
      <c r="H9" s="1">
        <v>1</v>
      </c>
      <c r="J9" s="4" t="s">
        <v>116</v>
      </c>
      <c r="K9" s="1">
        <v>7</v>
      </c>
    </row>
    <row r="10" spans="1:11" x14ac:dyDescent="0.3">
      <c r="A10" s="8" t="s">
        <v>138</v>
      </c>
      <c r="B10" s="7">
        <v>27</v>
      </c>
      <c r="G10" s="4" t="s">
        <v>130</v>
      </c>
      <c r="H10" s="1">
        <v>1</v>
      </c>
      <c r="J10" s="4" t="s">
        <v>118</v>
      </c>
      <c r="K10" s="1">
        <v>3</v>
      </c>
    </row>
    <row r="11" spans="1:11" x14ac:dyDescent="0.3">
      <c r="G11" s="4" t="s">
        <v>68</v>
      </c>
      <c r="H11" s="1">
        <v>1</v>
      </c>
      <c r="J11" s="4" t="s">
        <v>29</v>
      </c>
      <c r="K11" s="1">
        <v>1.25</v>
      </c>
    </row>
    <row r="12" spans="1:11" x14ac:dyDescent="0.3">
      <c r="G12" s="4" t="s">
        <v>132</v>
      </c>
      <c r="H12" s="1">
        <v>1</v>
      </c>
      <c r="J12" s="4" t="s">
        <v>131</v>
      </c>
      <c r="K12" s="1">
        <v>2</v>
      </c>
    </row>
    <row r="13" spans="1:11" x14ac:dyDescent="0.3">
      <c r="G13" s="4" t="s">
        <v>125</v>
      </c>
      <c r="H13" s="1">
        <v>1</v>
      </c>
      <c r="J13" s="4" t="s">
        <v>128</v>
      </c>
      <c r="K13" s="1">
        <v>7</v>
      </c>
    </row>
    <row r="14" spans="1:11" x14ac:dyDescent="0.3">
      <c r="G14" s="4" t="s">
        <v>120</v>
      </c>
      <c r="H14" s="1">
        <v>1</v>
      </c>
      <c r="J14" s="4" t="s">
        <v>115</v>
      </c>
      <c r="K14" s="1">
        <v>5</v>
      </c>
    </row>
    <row r="15" spans="1:11" x14ac:dyDescent="0.3">
      <c r="A15" s="6" t="s">
        <v>7</v>
      </c>
      <c r="B15" s="1" t="s">
        <v>139</v>
      </c>
      <c r="D15" s="6" t="s">
        <v>1</v>
      </c>
      <c r="E15" s="1" t="s">
        <v>143</v>
      </c>
      <c r="G15" s="4" t="s">
        <v>126</v>
      </c>
      <c r="H15" s="1">
        <v>2</v>
      </c>
      <c r="J15" s="2" t="s">
        <v>138</v>
      </c>
      <c r="K15">
        <v>2.9629629629629628</v>
      </c>
    </row>
    <row r="16" spans="1:11" x14ac:dyDescent="0.3">
      <c r="A16" s="4" t="s">
        <v>52</v>
      </c>
      <c r="B16" s="1">
        <v>3</v>
      </c>
      <c r="D16" s="4" t="s">
        <v>10</v>
      </c>
      <c r="E16" s="1">
        <v>3437.5</v>
      </c>
      <c r="G16" s="4" t="s">
        <v>124</v>
      </c>
      <c r="H16" s="1">
        <v>1</v>
      </c>
    </row>
    <row r="17" spans="1:8" x14ac:dyDescent="0.3">
      <c r="A17" s="4" t="s">
        <v>127</v>
      </c>
      <c r="B17" s="1">
        <v>1</v>
      </c>
      <c r="D17" s="4" t="s">
        <v>25</v>
      </c>
      <c r="E17" s="1">
        <v>3475</v>
      </c>
      <c r="G17" s="4" t="s">
        <v>123</v>
      </c>
      <c r="H17" s="1">
        <v>2</v>
      </c>
    </row>
    <row r="18" spans="1:8" x14ac:dyDescent="0.3">
      <c r="A18" s="4" t="s">
        <v>69</v>
      </c>
      <c r="B18" s="1">
        <v>2</v>
      </c>
      <c r="D18" s="4" t="s">
        <v>37</v>
      </c>
      <c r="E18" s="1">
        <v>3457.1428571428573</v>
      </c>
      <c r="G18" s="4" t="s">
        <v>117</v>
      </c>
      <c r="H18" s="1">
        <v>3</v>
      </c>
    </row>
    <row r="19" spans="1:8" x14ac:dyDescent="0.3">
      <c r="A19" s="4" t="s">
        <v>121</v>
      </c>
      <c r="B19" s="1">
        <v>1</v>
      </c>
      <c r="D19" s="4" t="s">
        <v>54</v>
      </c>
      <c r="E19" s="1">
        <v>950</v>
      </c>
      <c r="G19" s="2" t="s">
        <v>138</v>
      </c>
      <c r="H19">
        <v>27</v>
      </c>
    </row>
    <row r="20" spans="1:8" x14ac:dyDescent="0.3">
      <c r="A20" s="4" t="s">
        <v>116</v>
      </c>
      <c r="B20" s="1">
        <v>1</v>
      </c>
      <c r="D20" s="8" t="s">
        <v>138</v>
      </c>
      <c r="E20" s="7">
        <v>3085.1851851851852</v>
      </c>
    </row>
    <row r="21" spans="1:8" x14ac:dyDescent="0.3">
      <c r="A21" s="4" t="s">
        <v>118</v>
      </c>
      <c r="B21" s="1">
        <v>1</v>
      </c>
    </row>
    <row r="22" spans="1:8" x14ac:dyDescent="0.3">
      <c r="A22" s="4" t="s">
        <v>29</v>
      </c>
      <c r="B22" s="1">
        <v>12</v>
      </c>
    </row>
    <row r="23" spans="1:8" x14ac:dyDescent="0.3">
      <c r="A23" s="4" t="s">
        <v>131</v>
      </c>
      <c r="B23" s="1">
        <v>1</v>
      </c>
    </row>
    <row r="24" spans="1:8" x14ac:dyDescent="0.3">
      <c r="A24" s="4" t="s">
        <v>128</v>
      </c>
      <c r="B24" s="1">
        <v>1</v>
      </c>
    </row>
    <row r="25" spans="1:8" x14ac:dyDescent="0.3">
      <c r="A25" s="4" t="s">
        <v>115</v>
      </c>
      <c r="B25" s="1">
        <v>4</v>
      </c>
    </row>
    <row r="26" spans="1:8" x14ac:dyDescent="0.3">
      <c r="A26" s="4" t="s">
        <v>138</v>
      </c>
      <c r="B26" s="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EDDA-7FB2-44D4-B7F0-B6D7A170E35B}">
  <dimension ref="A1"/>
  <sheetViews>
    <sheetView topLeftCell="A19" workbookViewId="0">
      <selection activeCell="J43" sqref="J43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CD738-6AC1-40F0-8113-C3D64C846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eating_out_habits_raw data</vt:lpstr>
      <vt:lpstr>cleaned_data</vt:lpstr>
      <vt:lpstr>Analyse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Poonia</dc:creator>
  <cp:lastModifiedBy>Ajay Poonia</cp:lastModifiedBy>
  <dcterms:created xsi:type="dcterms:W3CDTF">2025-12-27T06:22:15Z</dcterms:created>
  <dcterms:modified xsi:type="dcterms:W3CDTF">2026-01-01T10:09:14Z</dcterms:modified>
</cp:coreProperties>
</file>