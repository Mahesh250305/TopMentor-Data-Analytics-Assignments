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p\Downloads\"/>
    </mc:Choice>
  </mc:AlternateContent>
  <xr:revisionPtr revIDLastSave="0" documentId="13_ncr:1_{930021F1-6013-4160-BD5C-9D10D680E538}" xr6:coauthVersionLast="47" xr6:coauthVersionMax="47" xr10:uidLastSave="{00000000-0000-0000-0000-000000000000}"/>
  <bookViews>
    <workbookView xWindow="-108" yWindow="-108" windowWidth="23256" windowHeight="12456" activeTab="1" xr2:uid="{70A99AA8-19DA-48CF-8EB7-F8CD2DF412B6}"/>
  </bookViews>
  <sheets>
    <sheet name="raw data" sheetId="1" r:id="rId1"/>
    <sheet name="cleaned data" sheetId="5" r:id="rId2"/>
    <sheet name="analysis sheet" sheetId="2" r:id="rId3"/>
  </sheets>
  <definedNames>
    <definedName name="ExternalData_1" localSheetId="1" hidden="1">'cleaned data'!$A$1:$R$32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D2" i="2"/>
  <c r="E2" i="2"/>
  <c r="F2" i="2"/>
  <c r="H40" i="5"/>
  <c r="H39" i="5"/>
  <c r="E43" i="5"/>
  <c r="E42" i="5"/>
  <c r="E41" i="5"/>
  <c r="E40" i="5"/>
  <c r="E39" i="5"/>
  <c r="B39" i="5"/>
  <c r="B42" i="5"/>
  <c r="B41" i="5"/>
  <c r="B40" i="5"/>
  <c r="C6" i="2"/>
  <c r="G6" i="2" s="1"/>
  <c r="D6" i="2"/>
  <c r="E6" i="2"/>
  <c r="F6" i="2"/>
  <c r="B6" i="2"/>
  <c r="C5" i="2"/>
  <c r="D5" i="2"/>
  <c r="E5" i="2"/>
  <c r="F5" i="2"/>
  <c r="B5" i="2"/>
  <c r="G5" i="2" s="1"/>
  <c r="C4" i="2"/>
  <c r="D4" i="2"/>
  <c r="E4" i="2"/>
  <c r="F4" i="2"/>
  <c r="B4" i="2"/>
  <c r="G4" i="2" s="1"/>
  <c r="C3" i="2"/>
  <c r="D3" i="2"/>
  <c r="E3" i="2"/>
  <c r="F3" i="2"/>
  <c r="B3" i="2"/>
  <c r="G3" i="2" s="1"/>
  <c r="B2" i="2"/>
  <c r="B7" i="5"/>
  <c r="B8" i="5"/>
  <c r="B9" i="5"/>
  <c r="B10" i="5"/>
  <c r="B11" i="5"/>
  <c r="B12" i="5"/>
  <c r="B14" i="5"/>
  <c r="B15" i="5"/>
  <c r="B17" i="5"/>
  <c r="B18" i="5"/>
  <c r="B20" i="5"/>
  <c r="B21" i="5"/>
  <c r="B22" i="5"/>
  <c r="B24" i="5"/>
  <c r="B25" i="5"/>
  <c r="B27" i="5"/>
  <c r="B28" i="5"/>
  <c r="B30" i="5"/>
  <c r="B31" i="5"/>
  <c r="B32" i="5"/>
  <c r="B4" i="5"/>
  <c r="B5" i="5"/>
  <c r="B6" i="5"/>
  <c r="B2" i="5"/>
  <c r="G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4C4414-1DE2-47DF-BCEB-5A5CEF9A8096}" keepAlive="1" name="Query - 2525" description="Connection to the '2525' query in the workbook." type="5" refreshedVersion="8" background="1" saveData="1">
    <dbPr connection="Provider=Microsoft.Mashup.OleDb.1;Data Source=$Workbook$;Location=2525;Extended Properties=&quot;&quot;" command="SELECT * FROM [2525]"/>
  </connection>
</connections>
</file>

<file path=xl/sharedStrings.xml><?xml version="1.0" encoding="utf-8"?>
<sst xmlns="http://schemas.openxmlformats.org/spreadsheetml/2006/main" count="477" uniqueCount="151">
  <si>
    <t>Response ID</t>
  </si>
  <si>
    <t>Name</t>
  </si>
  <si>
    <t>Age Group</t>
  </si>
  <si>
    <t>Role in Family</t>
  </si>
  <si>
    <t>Occupation/School Grade</t>
  </si>
  <si>
    <t>Total Screen Time (hours)</t>
  </si>
  <si>
    <t>Work/Study (hours)</t>
  </si>
  <si>
    <t>Entertainment (hours)</t>
  </si>
  <si>
    <t>Social Media (hours)</t>
  </si>
  <si>
    <t>Gaming (hours)</t>
  </si>
  <si>
    <t>Mobile</t>
  </si>
  <si>
    <t>Laptop</t>
  </si>
  <si>
    <t>Tablet</t>
  </si>
  <si>
    <t>Smart TV</t>
  </si>
  <si>
    <t>Other</t>
  </si>
  <si>
    <t>Screen Time Too Much? (1=Yes</t>
  </si>
  <si>
    <t>What Do You Miss?</t>
  </si>
  <si>
    <t>11-18</t>
  </si>
  <si>
    <t>Child</t>
  </si>
  <si>
    <t>8th Grade</t>
  </si>
  <si>
    <t>Playing outside</t>
  </si>
  <si>
    <t>19-30</t>
  </si>
  <si>
    <t>Parent</t>
  </si>
  <si>
    <t>Teacher</t>
  </si>
  <si>
    <t>Family time</t>
  </si>
  <si>
    <t>Under 10</t>
  </si>
  <si>
    <t>3rd Grade</t>
  </si>
  <si>
    <t>Reading books</t>
  </si>
  <si>
    <t>31-50</t>
  </si>
  <si>
    <t>Engineer</t>
  </si>
  <si>
    <t>Exercise</t>
  </si>
  <si>
    <t>51+</t>
  </si>
  <si>
    <t>Grandparent</t>
  </si>
  <si>
    <t>Retired</t>
  </si>
  <si>
    <t>Gardening</t>
  </si>
  <si>
    <t>High School</t>
  </si>
  <si>
    <t>Sports</t>
  </si>
  <si>
    <t>Sibling</t>
  </si>
  <si>
    <t>Student</t>
  </si>
  <si>
    <t>Socializing in person</t>
  </si>
  <si>
    <t>Nurse</t>
  </si>
  <si>
    <t>Cooking</t>
  </si>
  <si>
    <t>Kindergarten</t>
  </si>
  <si>
    <t>Drawing</t>
  </si>
  <si>
    <t>Volunteering</t>
  </si>
  <si>
    <t>9th Grade</t>
  </si>
  <si>
    <t>Nature walks</t>
  </si>
  <si>
    <t>Freelancer</t>
  </si>
  <si>
    <t>Hobbies</t>
  </si>
  <si>
    <t>Accountant</t>
  </si>
  <si>
    <t>Reading</t>
  </si>
  <si>
    <t>2nd Grade</t>
  </si>
  <si>
    <t>Playing with friends</t>
  </si>
  <si>
    <t>Knitting</t>
  </si>
  <si>
    <t>10th Grade</t>
  </si>
  <si>
    <t>Outdoor games</t>
  </si>
  <si>
    <t>Graduate Student</t>
  </si>
  <si>
    <t>Meditation</t>
  </si>
  <si>
    <t>Doctor</t>
  </si>
  <si>
    <t>Yoga</t>
  </si>
  <si>
    <t>1st Grade</t>
  </si>
  <si>
    <t>Storytelling</t>
  </si>
  <si>
    <t>Fishing</t>
  </si>
  <si>
    <t>7th Grade</t>
  </si>
  <si>
    <t>Art classes</t>
  </si>
  <si>
    <t>Artist</t>
  </si>
  <si>
    <t>Traveling</t>
  </si>
  <si>
    <t>Manager</t>
  </si>
  <si>
    <t>Preschool</t>
  </si>
  <si>
    <t>Singing</t>
  </si>
  <si>
    <t>Baking</t>
  </si>
  <si>
    <t>11th Grade</t>
  </si>
  <si>
    <t>Team sports</t>
  </si>
  <si>
    <t>Intern</t>
  </si>
  <si>
    <t>Writing</t>
  </si>
  <si>
    <t>Photography</t>
  </si>
  <si>
    <t>4th Grade</t>
  </si>
  <si>
    <t>Building forts</t>
  </si>
  <si>
    <t>Sewing</t>
  </si>
  <si>
    <t>12th Grade</t>
  </si>
  <si>
    <t>Music practice</t>
  </si>
  <si>
    <t>Devices Used (comma-separated)</t>
  </si>
  <si>
    <t>Use Screens After 9 PM?</t>
  </si>
  <si>
    <t>Screen Time Too Much?</t>
  </si>
  <si>
    <t>Affected Sleep?</t>
  </si>
  <si>
    <t>4 hours</t>
  </si>
  <si>
    <t>1 hour</t>
  </si>
  <si>
    <t>2 hours</t>
  </si>
  <si>
    <t>Mobile, Tablet</t>
  </si>
  <si>
    <t>Yes</t>
  </si>
  <si>
    <t>No</t>
  </si>
  <si>
    <t>Laptop, Mobile</t>
  </si>
  <si>
    <t>3 hours</t>
  </si>
  <si>
    <t>Tablet, Smart TV</t>
  </si>
  <si>
    <t>Not Sure</t>
  </si>
  <si>
    <t>Mobile, Laptop</t>
  </si>
  <si>
    <t>7 hours</t>
  </si>
  <si>
    <t>Laptop, Tablet</t>
  </si>
  <si>
    <t>Mobile, Smart TV</t>
  </si>
  <si>
    <t>Smart TV, Mobile</t>
  </si>
  <si>
    <t>6 hours</t>
  </si>
  <si>
    <t>Laptop, Mobile, Tablet</t>
  </si>
  <si>
    <t>5 hours</t>
  </si>
  <si>
    <t>aayush</t>
  </si>
  <si>
    <t>Metric</t>
  </si>
  <si>
    <t>Overall</t>
  </si>
  <si>
    <t>Average Screen Time (hours)</t>
  </si>
  <si>
    <t>Average Work/Study (hours)</t>
  </si>
  <si>
    <t>Average Entertainment (hours)</t>
  </si>
  <si>
    <t>Count Using Screens After 9 PM</t>
  </si>
  <si>
    <t>Count Feeling Screen Time Affects Sleep</t>
  </si>
  <si>
    <t>prateek</t>
  </si>
  <si>
    <t>ramkumar</t>
  </si>
  <si>
    <t>balwan singh</t>
  </si>
  <si>
    <t>nidhi</t>
  </si>
  <si>
    <t>2 hour</t>
  </si>
  <si>
    <t>6 hour</t>
  </si>
  <si>
    <t>5 hour</t>
  </si>
  <si>
    <t>Jagjeet</t>
  </si>
  <si>
    <t>sunita</t>
  </si>
  <si>
    <t>Naman</t>
  </si>
  <si>
    <t>Ramsingh</t>
  </si>
  <si>
    <t>nitin</t>
  </si>
  <si>
    <t>sumeer singh</t>
  </si>
  <si>
    <t>Sanvi</t>
  </si>
  <si>
    <t>yogesh</t>
  </si>
  <si>
    <t>Nisha</t>
  </si>
  <si>
    <t>Nikita</t>
  </si>
  <si>
    <t>name</t>
  </si>
  <si>
    <t>rajveer singh</t>
  </si>
  <si>
    <t>poonam</t>
  </si>
  <si>
    <t>Deepak</t>
  </si>
  <si>
    <t>Yogita</t>
  </si>
  <si>
    <t>Sachin</t>
  </si>
  <si>
    <t>Sahil</t>
  </si>
  <si>
    <t>Nikhil</t>
  </si>
  <si>
    <t>Santosh devi</t>
  </si>
  <si>
    <t>Sanju</t>
  </si>
  <si>
    <t>anonymous</t>
  </si>
  <si>
    <t>Use Screens After 9 PM? (1=Yes , 0=No)</t>
  </si>
  <si>
    <t>Affected Sleep? (1=Yes,0=No,0.5=Not sure)</t>
  </si>
  <si>
    <t>What do you miss?</t>
  </si>
  <si>
    <t>DEVICES</t>
  </si>
  <si>
    <t>TOTAL HOURS</t>
  </si>
  <si>
    <t>Smart Tv</t>
  </si>
  <si>
    <t>AGE GROUP</t>
  </si>
  <si>
    <t>TOTAL SCREEN TIME</t>
  </si>
  <si>
    <t>UNDER 10</t>
  </si>
  <si>
    <t>ACTIVITY</t>
  </si>
  <si>
    <t>WORK/STUDY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</si>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</sst>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9090B"/>
      <name val="Arial"/>
      <family val="2"/>
    </font>
    <font>
      <sz val="11"/>
      <color rgb="FF09090B"/>
      <name val="Arial"/>
      <family val="2"/>
    </font>
    <font>
      <sz val="8"/>
      <name val="Calibri"/>
      <family val="2"/>
      <scheme val="minor"/>
    </font>
    <font>
      <sz val="11"/>
      <color rgb="FF11182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4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17" fontId="2" fillId="3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5" borderId="2" xfId="0" applyFill="1" applyBorder="1"/>
    <xf numFmtId="17" fontId="0" fillId="0" borderId="2" xfId="0" quotePrefix="1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quotePrefix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quotePrefix="1" applyBorder="1"/>
    <xf numFmtId="0" fontId="0" fillId="0" borderId="11" xfId="0" applyBorder="1"/>
    <xf numFmtId="0" fontId="4" fillId="0" borderId="0" xfId="0" applyFont="1"/>
    <xf numFmtId="0" fontId="1" fillId="5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17" fontId="1" fillId="8" borderId="2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22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DEVICES USED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79-4511-BEEA-ACFA06C73F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79-4511-BEEA-ACFA06C73F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79-4511-BEEA-ACFA06C73F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79-4511-BEEA-ACFA06C73F3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'cleaned data'!$A$39:$A$42</c:f>
              <c:strCache>
                <c:ptCount val="4"/>
                <c:pt idx="0">
                  <c:v>Mobile</c:v>
                </c:pt>
                <c:pt idx="1">
                  <c:v>Laptop</c:v>
                </c:pt>
                <c:pt idx="2">
                  <c:v>Tablet</c:v>
                </c:pt>
                <c:pt idx="3">
                  <c:v>Smart Tv</c:v>
                </c:pt>
              </c:strCache>
            </c:strRef>
          </c:cat>
          <c:val>
            <c:numRef>
              <c:f>'cleaned data'!$B$39:$B$42</c:f>
              <c:numCache>
                <c:formatCode>General</c:formatCode>
                <c:ptCount val="4"/>
                <c:pt idx="0">
                  <c:v>17</c:v>
                </c:pt>
                <c:pt idx="1">
                  <c:v>16</c:v>
                </c:pt>
                <c:pt idx="2">
                  <c:v>12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5-48CA-85DD-6CFAE6EEFE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88407699037619"/>
          <c:y val="0.2487835374744824"/>
          <c:w val="0.21989370078740161"/>
          <c:h val="0.6458355205599298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90763342082239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24796834123335E-2"/>
          <c:y val="0.19486125162530454"/>
          <c:w val="0.90286351706036749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tx>
            <c:v>TOTAL SCREEN TIME BY AGE GROUP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'cleaned data'!$D$39:$D$43</c:f>
              <c:strCache>
                <c:ptCount val="5"/>
                <c:pt idx="0">
                  <c:v>UNDER 10</c:v>
                </c:pt>
                <c:pt idx="1">
                  <c:v>11-18</c:v>
                </c:pt>
                <c:pt idx="2">
                  <c:v>19-30</c:v>
                </c:pt>
                <c:pt idx="3">
                  <c:v>31-50</c:v>
                </c:pt>
                <c:pt idx="4">
                  <c:v>51+</c:v>
                </c:pt>
              </c:strCache>
            </c:strRef>
          </c:cat>
          <c:val>
            <c:numRef>
              <c:f>'cleaned data'!$E$39:$E$43</c:f>
              <c:numCache>
                <c:formatCode>General</c:formatCode>
                <c:ptCount val="5"/>
                <c:pt idx="0">
                  <c:v>18</c:v>
                </c:pt>
                <c:pt idx="1">
                  <c:v>37</c:v>
                </c:pt>
                <c:pt idx="2">
                  <c:v>46</c:v>
                </c:pt>
                <c:pt idx="3">
                  <c:v>42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B-4435-9306-50F7DA58489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73702992"/>
        <c:axId val="73702032"/>
      </c:barChart>
      <c:catAx>
        <c:axId val="7370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2032"/>
        <c:crosses val="autoZero"/>
        <c:auto val="1"/>
        <c:lblAlgn val="ctr"/>
        <c:lblOffset val="100"/>
        <c:noMultiLvlLbl val="0"/>
      </c:catAx>
      <c:valAx>
        <c:axId val="7370203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370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027093960127628"/>
          <c:y val="2.28013048809753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WORK/STUDY VS ENTERTAINMENT SCREEN TIME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'cleaned data'!$G$39:$G$40</c:f>
              <c:strCache>
                <c:ptCount val="2"/>
                <c:pt idx="0">
                  <c:v>WORK/STUDY</c:v>
                </c:pt>
                <c:pt idx="1">
                  <c:v>ENTERTAINMENT</c:v>
                </c:pt>
              </c:strCache>
            </c:strRef>
          </c:cat>
          <c:val>
            <c:numRef>
              <c:f>'cleaned data'!$H$39:$H$40</c:f>
              <c:numCache>
                <c:formatCode>General</c:formatCode>
                <c:ptCount val="2"/>
                <c:pt idx="0">
                  <c:v>67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3-4AB3-9A03-7B8CF1F57E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9976304"/>
        <c:axId val="163651888"/>
      </c:barChart>
      <c:catAx>
        <c:axId val="7997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1888"/>
        <c:crosses val="autoZero"/>
        <c:auto val="1"/>
        <c:lblAlgn val="ctr"/>
        <c:lblOffset val="100"/>
        <c:noMultiLvlLbl val="0"/>
      </c:catAx>
      <c:valAx>
        <c:axId val="163651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7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RELATIONSHIP BETWEEN SCREEN TIME AND AFFECTED SLEEP</c:v>
          </c:tx>
          <c:spPr>
            <a:ln w="25400">
              <a:noFill/>
            </a:ln>
            <a:effectLst/>
          </c:spPr>
          <c:marker>
            <c:symbol val="diamond"/>
            <c:size val="12"/>
            <c:spPr>
              <a:solidFill>
                <a:srgbClr val="FF0000"/>
              </a:solidFill>
              <a:ln w="19050" cap="flat" cmpd="sng" algn="ctr">
                <a:noFill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'cleaned data'!$F$2:$F$32</c:f>
              <c:numCache>
                <c:formatCode>General</c:formatCode>
                <c:ptCount val="31"/>
                <c:pt idx="0">
                  <c:v>4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2</c:v>
                </c:pt>
                <c:pt idx="5">
                  <c:v>5</c:v>
                </c:pt>
                <c:pt idx="6">
                  <c:v>7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6</c:v>
                </c:pt>
                <c:pt idx="11">
                  <c:v>9</c:v>
                </c:pt>
                <c:pt idx="12">
                  <c:v>7</c:v>
                </c:pt>
                <c:pt idx="13">
                  <c:v>4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6</c:v>
                </c:pt>
                <c:pt idx="18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2</c:v>
                </c:pt>
                <c:pt idx="24">
                  <c:v>3</c:v>
                </c:pt>
                <c:pt idx="25">
                  <c:v>5</c:v>
                </c:pt>
                <c:pt idx="26">
                  <c:v>9</c:v>
                </c:pt>
                <c:pt idx="27">
                  <c:v>7</c:v>
                </c:pt>
                <c:pt idx="28">
                  <c:v>4</c:v>
                </c:pt>
                <c:pt idx="29">
                  <c:v>2</c:v>
                </c:pt>
                <c:pt idx="30">
                  <c:v>6</c:v>
                </c:pt>
              </c:numCache>
            </c:numRef>
          </c:xVal>
          <c:yVal>
            <c:numRef>
              <c:f>'cleaned data'!$Q$2:$Q$32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0.5</c:v>
                </c:pt>
                <c:pt idx="7">
                  <c:v>1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0.5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0.5</c:v>
                </c:pt>
                <c:pt idx="20">
                  <c:v>1</c:v>
                </c:pt>
                <c:pt idx="21">
                  <c:v>0.5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0.5</c:v>
                </c:pt>
                <c:pt idx="29">
                  <c:v>0</c:v>
                </c:pt>
                <c:pt idx="3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4B-4EB4-AB42-28C8640158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8161920"/>
        <c:axId val="128162880"/>
      </c:scatterChart>
      <c:valAx>
        <c:axId val="12816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SCREEN TIME(HOURS)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2880"/>
        <c:crosses val="autoZero"/>
        <c:crossBetween val="midCat"/>
      </c:valAx>
      <c:valAx>
        <c:axId val="1281628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AFFECTED SLEEP</a:t>
                </a:r>
              </a:p>
            </c:rich>
          </c:tx>
          <c:layout>
            <c:manualLayout>
              <c:xMode val="edge"/>
              <c:yMode val="edge"/>
              <c:x val="1.7719406007351265E-2"/>
              <c:y val="0.41083772433510751"/>
            </c:manualLayout>
          </c:layout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6192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174170</xdr:rowOff>
    </xdr:from>
    <xdr:to>
      <xdr:col>5</xdr:col>
      <xdr:colOff>903514</xdr:colOff>
      <xdr:row>67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3ADB31-D269-AD53-815A-1F8999FE1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1709057</xdr:colOff>
      <xdr:row>48</xdr:row>
      <xdr:rowOff>185054</xdr:rowOff>
    </xdr:from>
    <xdr:to>
      <xdr:col>11</xdr:col>
      <xdr:colOff>10886</xdr:colOff>
      <xdr:row>66</xdr:row>
      <xdr:rowOff>174172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1921F0-FAAD-E81C-BD14-EF3F523C0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</xdr:colOff>
      <xdr:row>49</xdr:row>
      <xdr:rowOff>10886</xdr:rowOff>
    </xdr:from>
    <xdr:to>
      <xdr:col>16</xdr:col>
      <xdr:colOff>1</xdr:colOff>
      <xdr:row>67</xdr:row>
      <xdr:rowOff>21771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F2AE4C-5B2A-4E67-1338-EFB9B97DB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1709058</xdr:colOff>
      <xdr:row>75</xdr:row>
      <xdr:rowOff>10884</xdr:rowOff>
    </xdr:from>
    <xdr:to>
      <xdr:col>12</xdr:col>
      <xdr:colOff>402771</xdr:colOff>
      <xdr:row>101</xdr:row>
      <xdr:rowOff>43541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E66D72-86F1-22AA-480D-DA13A820F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BEFE66-F73C-49F8-A466-E911E9A0D53B}" autoFormatId="16" applyNumberFormats="0" applyBorderFormats="0" applyFontFormats="0" applyPatternFormats="0" applyAlignmentFormats="0" applyWidthHeightFormats="0">
  <queryTableRefresh nextId="27">
    <queryTableFields count="18">
      <queryTableField id="1" name="Response ID" tableColumnId="1"/>
      <queryTableField id="2" name="Name" tableColumnId="2"/>
      <queryTableField id="3" name="Age Group" tableColumnId="3"/>
      <queryTableField id="4" name="Role in Family" tableColumnId="4"/>
      <queryTableField id="5" name="Occupation/School Grade" tableColumnId="5"/>
      <queryTableField id="6" name="Total Screen Time (hours)" tableColumnId="6"/>
      <queryTableField id="7" name="Work/Study (hours)" tableColumnId="7"/>
      <queryTableField id="8" name="Entertainment (hours)" tableColumnId="8"/>
      <queryTableField id="9" name="Social Media (hours)" tableColumnId="9"/>
      <queryTableField id="10" name="Gaming (hours)" tableColumnId="10"/>
      <queryTableField id="11" name="Mobile" tableColumnId="11"/>
      <queryTableField id="12" name="Laptop" tableColumnId="12"/>
      <queryTableField id="13" name="Tablet" tableColumnId="13"/>
      <queryTableField id="14" name="Smart TV" tableColumnId="14"/>
      <queryTableField id="16" name="Use Screens After 9 PM? (1=Yes" tableColumnId="16"/>
      <queryTableField id="18" name="Screen Time Too Much? (1=Yes" tableColumnId="18"/>
      <queryTableField id="20" name="Affected Sleep? (1=Yes" tableColumnId="20"/>
      <queryTableField id="25" name="What Do You Miss?" tableColumnId="25"/>
    </queryTableFields>
    <queryTableDeletedFields count="7">
      <deletedField name="Other"/>
      <deletedField name=" 0=No)"/>
      <deletedField name=" 0=No)_3"/>
      <deletedField name="Want to Reduce? (1=Yes"/>
      <deletedField name=" 0=No)_2"/>
      <deletedField name=" 0.5=Not Sure"/>
      <deletedField name=" 0=No)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282372-4FEA-4E4A-A5CB-2F6D0325799D}" name="_cleaned_data" displayName="_cleaned_data" ref="A1:R32" tableType="queryTable" totalsRowShown="0" headerRowDxfId="21" headerRowBorderDxfId="20" tableBorderDxfId="19" totalsRowBorderDxfId="18" headerRowCellStyle="Normal">
  <autoFilter ref="A1:R32" xr:uid="{35282372-4FEA-4E4A-A5CB-2F6D032579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CC8293E-42E4-4586-9DA5-AEF4E81FCB40}" uniqueName="1" name="Response ID" queryTableFieldId="1" dataDxfId="17"/>
    <tableColumn id="2" xr3:uid="{27B5DF45-C728-4D19-9D89-D8CA40AA935D}" uniqueName="2" name="name" queryTableFieldId="2" dataDxfId="16"/>
    <tableColumn id="3" xr3:uid="{9C0602AC-F55E-4183-AA71-9824C4751583}" uniqueName="3" name="Age Group" queryTableFieldId="3" dataDxfId="15"/>
    <tableColumn id="4" xr3:uid="{9331F626-2E4B-42EA-8A4F-6C8D1CD919CE}" uniqueName="4" name="Role in Family" queryTableFieldId="4" dataDxfId="14"/>
    <tableColumn id="5" xr3:uid="{925949D2-C068-473E-9392-07D99023B3C5}" uniqueName="5" name="Occupation/School Grade" queryTableFieldId="5" dataDxfId="13"/>
    <tableColumn id="6" xr3:uid="{43CFF3A2-2712-4C66-AC7A-A2885F3A0A24}" uniqueName="6" name="Total Screen Time (hours)" queryTableFieldId="6" dataDxfId="12"/>
    <tableColumn id="7" xr3:uid="{CDE1C019-850A-4AB6-8712-CBB1A44F6517}" uniqueName="7" name="Work/Study (hours)" queryTableFieldId="7" dataDxfId="11"/>
    <tableColumn id="8" xr3:uid="{9E9631CC-FEFE-4336-95BB-02E2423D600B}" uniqueName="8" name="Entertainment (hours)" queryTableFieldId="8" dataDxfId="10"/>
    <tableColumn id="9" xr3:uid="{F7540B3C-EAD0-4373-AFB1-D20946BFC14E}" uniqueName="9" name="Social Media (hours)" queryTableFieldId="9" dataDxfId="9"/>
    <tableColumn id="10" xr3:uid="{BD615FAA-02DB-4C59-AC31-C3B3939D8278}" uniqueName="10" name="Gaming (hours)" queryTableFieldId="10" dataDxfId="8"/>
    <tableColumn id="11" xr3:uid="{E72E5C74-8AE7-4426-A368-023B126AE854}" uniqueName="11" name="Mobile" queryTableFieldId="11" dataDxfId="7"/>
    <tableColumn id="12" xr3:uid="{5549C39E-6AA9-4EF7-A94B-91158F35A626}" uniqueName="12" name="Laptop" queryTableFieldId="12" dataDxfId="6"/>
    <tableColumn id="13" xr3:uid="{6381468E-996E-48ED-A70B-EEBEA1C95453}" uniqueName="13" name="Tablet" queryTableFieldId="13" dataDxfId="5"/>
    <tableColumn id="14" xr3:uid="{3BF2FDAB-32C5-48F3-80EE-B1C97AC97516}" uniqueName="14" name="Smart TV" queryTableFieldId="14" dataDxfId="4"/>
    <tableColumn id="16" xr3:uid="{C2387305-83D0-4D79-8F93-217FFC5DE361}" uniqueName="16" name="Use Screens After 9 PM? (1=Yes , 0=No)" queryTableFieldId="16" dataDxfId="3"/>
    <tableColumn id="18" xr3:uid="{51A904D9-4556-4542-AC99-D4EBCEF83728}" uniqueName="18" name="Screen Time Too Much? (1=Yes" queryTableFieldId="18" dataDxfId="2"/>
    <tableColumn id="20" xr3:uid="{F844DF29-F646-4A76-9440-5B41318AF3D3}" uniqueName="20" name="Affected Sleep? (1=Yes,0=No,0.5=Not sure)" queryTableFieldId="20" dataDxfId="1"/>
    <tableColumn id="25" xr3:uid="{012D429A-AF33-4BC8-9F4A-6EA8B13474C7}" uniqueName="25" name="What Do You Miss?" queryTableFieldId="25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787F-4DFB-4EB0-B2E5-F3A480C474A4}">
  <dimension ref="A1:O32"/>
  <sheetViews>
    <sheetView zoomScale="70" zoomScaleNormal="70" workbookViewId="0">
      <selection activeCell="F6" sqref="F6"/>
    </sheetView>
  </sheetViews>
  <sheetFormatPr defaultRowHeight="14.4" x14ac:dyDescent="0.3"/>
  <cols>
    <col min="1" max="1" width="13.77734375" bestFit="1" customWidth="1"/>
    <col min="2" max="2" width="7.21875" customWidth="1"/>
    <col min="3" max="3" width="11.5546875" bestFit="1" customWidth="1"/>
    <col min="4" max="4" width="15.21875" bestFit="1" customWidth="1"/>
    <col min="5" max="5" width="26.88671875" bestFit="1" customWidth="1"/>
    <col min="6" max="6" width="27.5546875" bestFit="1" customWidth="1"/>
    <col min="7" max="7" width="20.44140625" bestFit="1" customWidth="1"/>
    <col min="8" max="8" width="22.88671875" bestFit="1" customWidth="1"/>
    <col min="9" max="9" width="21.88671875" bestFit="1" customWidth="1"/>
    <col min="10" max="10" width="16.44140625" bestFit="1" customWidth="1"/>
    <col min="11" max="11" width="35.109375" bestFit="1" customWidth="1"/>
    <col min="12" max="12" width="26.44140625" bestFit="1" customWidth="1"/>
    <col min="13" max="13" width="25.77734375" bestFit="1" customWidth="1"/>
    <col min="14" max="14" width="16.77734375" bestFit="1" customWidth="1"/>
    <col min="15" max="15" width="21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81</v>
      </c>
      <c r="L1" s="1" t="s">
        <v>82</v>
      </c>
      <c r="M1" s="1" t="s">
        <v>83</v>
      </c>
      <c r="N1" s="1" t="s">
        <v>84</v>
      </c>
      <c r="O1" s="5" t="s">
        <v>141</v>
      </c>
    </row>
    <row r="2" spans="1:15" x14ac:dyDescent="0.3">
      <c r="A2" s="2">
        <v>1</v>
      </c>
      <c r="B2" s="2" t="s">
        <v>103</v>
      </c>
      <c r="C2" s="3">
        <v>43405</v>
      </c>
      <c r="D2" s="2" t="s">
        <v>18</v>
      </c>
      <c r="E2" s="2" t="s">
        <v>19</v>
      </c>
      <c r="F2" s="2" t="s">
        <v>85</v>
      </c>
      <c r="G2" s="2" t="s">
        <v>86</v>
      </c>
      <c r="H2" s="2" t="s">
        <v>87</v>
      </c>
      <c r="I2" s="2" t="s">
        <v>86</v>
      </c>
      <c r="J2" s="2">
        <v>0</v>
      </c>
      <c r="K2" s="2" t="s">
        <v>88</v>
      </c>
      <c r="L2" s="2" t="s">
        <v>89</v>
      </c>
      <c r="M2" s="2" t="s">
        <v>90</v>
      </c>
      <c r="N2" s="2" t="s">
        <v>90</v>
      </c>
      <c r="O2" s="6" t="s">
        <v>20</v>
      </c>
    </row>
    <row r="3" spans="1:15" x14ac:dyDescent="0.3">
      <c r="A3" s="2">
        <v>2</v>
      </c>
      <c r="B3" s="2"/>
      <c r="C3" s="2" t="s">
        <v>21</v>
      </c>
      <c r="D3" s="2" t="s">
        <v>22</v>
      </c>
      <c r="E3" s="2" t="s">
        <v>23</v>
      </c>
      <c r="F3" s="2">
        <v>6</v>
      </c>
      <c r="G3" s="2">
        <v>3</v>
      </c>
      <c r="H3" s="2">
        <v>1</v>
      </c>
      <c r="I3" s="2">
        <v>1</v>
      </c>
      <c r="J3" s="2">
        <v>1</v>
      </c>
      <c r="K3" s="2" t="s">
        <v>91</v>
      </c>
      <c r="L3" s="2" t="s">
        <v>90</v>
      </c>
      <c r="M3" s="2" t="s">
        <v>89</v>
      </c>
      <c r="N3" s="2" t="s">
        <v>89</v>
      </c>
      <c r="O3" s="7" t="s">
        <v>24</v>
      </c>
    </row>
    <row r="4" spans="1:15" x14ac:dyDescent="0.3">
      <c r="A4" s="2">
        <v>3</v>
      </c>
      <c r="B4" s="2" t="s">
        <v>111</v>
      </c>
      <c r="C4" s="2" t="s">
        <v>25</v>
      </c>
      <c r="D4" s="2" t="s">
        <v>18</v>
      </c>
      <c r="E4" s="2" t="s">
        <v>26</v>
      </c>
      <c r="F4" s="2" t="s">
        <v>92</v>
      </c>
      <c r="G4" s="2">
        <v>0</v>
      </c>
      <c r="H4" s="2">
        <v>2</v>
      </c>
      <c r="I4" s="2">
        <v>0.5</v>
      </c>
      <c r="J4" s="2">
        <v>0.5</v>
      </c>
      <c r="K4" s="2" t="s">
        <v>93</v>
      </c>
      <c r="L4" s="2" t="s">
        <v>89</v>
      </c>
      <c r="M4" s="2" t="s">
        <v>90</v>
      </c>
      <c r="N4" s="2" t="s">
        <v>94</v>
      </c>
      <c r="O4" s="6" t="s">
        <v>27</v>
      </c>
    </row>
    <row r="5" spans="1:15" x14ac:dyDescent="0.3">
      <c r="A5" s="2">
        <v>4</v>
      </c>
      <c r="B5" s="2" t="s">
        <v>113</v>
      </c>
      <c r="C5" s="2" t="s">
        <v>28</v>
      </c>
      <c r="D5" s="2" t="s">
        <v>22</v>
      </c>
      <c r="E5" s="2" t="s">
        <v>29</v>
      </c>
      <c r="F5" s="2">
        <v>8</v>
      </c>
      <c r="G5" s="2">
        <v>5</v>
      </c>
      <c r="H5" s="2">
        <v>1</v>
      </c>
      <c r="I5" s="2">
        <v>1</v>
      </c>
      <c r="J5" s="2">
        <v>1</v>
      </c>
      <c r="K5" s="2" t="s">
        <v>91</v>
      </c>
      <c r="L5" s="2" t="s">
        <v>89</v>
      </c>
      <c r="M5" s="2" t="s">
        <v>89</v>
      </c>
      <c r="N5" s="2" t="s">
        <v>89</v>
      </c>
      <c r="O5" s="7" t="s">
        <v>30</v>
      </c>
    </row>
    <row r="6" spans="1:15" x14ac:dyDescent="0.3">
      <c r="A6" s="2">
        <v>5</v>
      </c>
      <c r="B6" s="2" t="s">
        <v>112</v>
      </c>
      <c r="C6" s="2" t="s">
        <v>31</v>
      </c>
      <c r="D6" s="2" t="s">
        <v>32</v>
      </c>
      <c r="E6" s="2" t="s">
        <v>33</v>
      </c>
      <c r="F6" s="2" t="s">
        <v>87</v>
      </c>
      <c r="G6" s="2">
        <v>0</v>
      </c>
      <c r="H6" s="2">
        <v>1</v>
      </c>
      <c r="I6" s="2">
        <v>0.5</v>
      </c>
      <c r="J6" s="2">
        <v>0.5</v>
      </c>
      <c r="K6" s="2" t="s">
        <v>13</v>
      </c>
      <c r="L6" s="2" t="s">
        <v>90</v>
      </c>
      <c r="M6" s="2" t="s">
        <v>90</v>
      </c>
      <c r="N6" s="2" t="s">
        <v>90</v>
      </c>
      <c r="O6" s="6" t="s">
        <v>34</v>
      </c>
    </row>
    <row r="7" spans="1:15" x14ac:dyDescent="0.3">
      <c r="A7" s="2">
        <v>6</v>
      </c>
      <c r="B7" s="2" t="s">
        <v>114</v>
      </c>
      <c r="C7" s="3">
        <v>43405</v>
      </c>
      <c r="D7" s="2" t="s">
        <v>18</v>
      </c>
      <c r="E7" s="2" t="s">
        <v>35</v>
      </c>
      <c r="F7" s="2">
        <v>5</v>
      </c>
      <c r="G7" s="2" t="s">
        <v>115</v>
      </c>
      <c r="H7" s="2">
        <v>1</v>
      </c>
      <c r="I7" s="2">
        <v>1</v>
      </c>
      <c r="J7" s="2">
        <v>1</v>
      </c>
      <c r="K7" s="2" t="s">
        <v>95</v>
      </c>
      <c r="L7" s="2" t="s">
        <v>89</v>
      </c>
      <c r="M7" s="2" t="s">
        <v>89</v>
      </c>
      <c r="N7" s="2" t="s">
        <v>89</v>
      </c>
      <c r="O7" s="7" t="s">
        <v>36</v>
      </c>
    </row>
    <row r="8" spans="1:15" x14ac:dyDescent="0.3">
      <c r="A8" s="2">
        <v>7</v>
      </c>
      <c r="B8" s="2" t="s">
        <v>118</v>
      </c>
      <c r="C8" s="2" t="s">
        <v>21</v>
      </c>
      <c r="D8" s="2" t="s">
        <v>37</v>
      </c>
      <c r="E8" s="2" t="s">
        <v>38</v>
      </c>
      <c r="F8" s="2" t="s">
        <v>96</v>
      </c>
      <c r="G8" s="2">
        <v>4</v>
      </c>
      <c r="H8" s="2">
        <v>1</v>
      </c>
      <c r="I8" s="2">
        <v>1</v>
      </c>
      <c r="J8" s="2">
        <v>1</v>
      </c>
      <c r="K8" s="2" t="s">
        <v>97</v>
      </c>
      <c r="L8" s="2" t="s">
        <v>90</v>
      </c>
      <c r="M8" s="2" t="s">
        <v>90</v>
      </c>
      <c r="N8" s="2" t="s">
        <v>94</v>
      </c>
      <c r="O8" s="6" t="s">
        <v>39</v>
      </c>
    </row>
    <row r="9" spans="1:15" x14ac:dyDescent="0.3">
      <c r="A9" s="2">
        <v>8</v>
      </c>
      <c r="B9" s="2" t="s">
        <v>119</v>
      </c>
      <c r="C9" s="2" t="s">
        <v>28</v>
      </c>
      <c r="D9" s="2" t="s">
        <v>22</v>
      </c>
      <c r="E9" s="2" t="s">
        <v>40</v>
      </c>
      <c r="F9" s="2">
        <v>6</v>
      </c>
      <c r="G9" s="2">
        <v>2</v>
      </c>
      <c r="H9" s="2">
        <v>2</v>
      </c>
      <c r="I9" s="2">
        <v>1</v>
      </c>
      <c r="J9" s="2">
        <v>1</v>
      </c>
      <c r="K9" s="2" t="s">
        <v>98</v>
      </c>
      <c r="L9" s="2" t="s">
        <v>89</v>
      </c>
      <c r="M9" s="2" t="s">
        <v>89</v>
      </c>
      <c r="N9" s="2" t="s">
        <v>89</v>
      </c>
      <c r="O9" s="7" t="s">
        <v>41</v>
      </c>
    </row>
    <row r="10" spans="1:15" x14ac:dyDescent="0.3">
      <c r="A10" s="2">
        <v>9</v>
      </c>
      <c r="B10" s="2" t="s">
        <v>120</v>
      </c>
      <c r="C10" s="2" t="s">
        <v>25</v>
      </c>
      <c r="D10" s="2" t="s">
        <v>18</v>
      </c>
      <c r="E10" s="2" t="s">
        <v>42</v>
      </c>
      <c r="F10" s="2" t="s">
        <v>87</v>
      </c>
      <c r="G10" s="2">
        <v>0</v>
      </c>
      <c r="H10" s="2">
        <v>1</v>
      </c>
      <c r="I10" s="2">
        <v>0.5</v>
      </c>
      <c r="J10" s="2">
        <v>0.5</v>
      </c>
      <c r="K10" s="2" t="s">
        <v>12</v>
      </c>
      <c r="L10" s="2" t="s">
        <v>90</v>
      </c>
      <c r="M10" s="2" t="s">
        <v>90</v>
      </c>
      <c r="N10" s="2" t="s">
        <v>90</v>
      </c>
      <c r="O10" s="6" t="s">
        <v>43</v>
      </c>
    </row>
    <row r="11" spans="1:15" x14ac:dyDescent="0.3">
      <c r="A11" s="2">
        <v>10</v>
      </c>
      <c r="B11" s="2" t="s">
        <v>121</v>
      </c>
      <c r="C11" s="2" t="s">
        <v>31</v>
      </c>
      <c r="D11" s="2" t="s">
        <v>32</v>
      </c>
      <c r="E11" s="2" t="s">
        <v>33</v>
      </c>
      <c r="F11" s="2">
        <v>3</v>
      </c>
      <c r="G11" s="2">
        <v>0</v>
      </c>
      <c r="H11" s="2">
        <v>2</v>
      </c>
      <c r="I11" s="2">
        <v>0.5</v>
      </c>
      <c r="J11" s="2">
        <v>0.5</v>
      </c>
      <c r="K11" s="2" t="s">
        <v>99</v>
      </c>
      <c r="L11" s="2" t="s">
        <v>89</v>
      </c>
      <c r="M11" s="2" t="s">
        <v>90</v>
      </c>
      <c r="N11" s="2" t="s">
        <v>94</v>
      </c>
      <c r="O11" s="7" t="s">
        <v>44</v>
      </c>
    </row>
    <row r="12" spans="1:15" x14ac:dyDescent="0.3">
      <c r="A12" s="2">
        <v>11</v>
      </c>
      <c r="B12" s="2" t="s">
        <v>122</v>
      </c>
      <c r="C12" s="3">
        <v>43405</v>
      </c>
      <c r="D12" s="2" t="s">
        <v>18</v>
      </c>
      <c r="E12" s="2" t="s">
        <v>45</v>
      </c>
      <c r="F12" s="2" t="s">
        <v>100</v>
      </c>
      <c r="G12" s="2">
        <v>3</v>
      </c>
      <c r="H12" s="2">
        <v>1</v>
      </c>
      <c r="I12" s="2">
        <v>1</v>
      </c>
      <c r="J12" s="2">
        <v>1</v>
      </c>
      <c r="K12" s="2" t="s">
        <v>95</v>
      </c>
      <c r="L12" s="2" t="s">
        <v>89</v>
      </c>
      <c r="M12" s="2" t="s">
        <v>89</v>
      </c>
      <c r="N12" s="2" t="s">
        <v>89</v>
      </c>
      <c r="O12" s="6" t="s">
        <v>46</v>
      </c>
    </row>
    <row r="13" spans="1:15" x14ac:dyDescent="0.3">
      <c r="A13" s="2">
        <v>12</v>
      </c>
      <c r="B13" s="2"/>
      <c r="C13" s="2" t="s">
        <v>21</v>
      </c>
      <c r="D13" s="2" t="s">
        <v>14</v>
      </c>
      <c r="E13" s="2" t="s">
        <v>47</v>
      </c>
      <c r="F13" s="2">
        <v>9</v>
      </c>
      <c r="G13" s="2" t="s">
        <v>116</v>
      </c>
      <c r="H13" s="2">
        <v>1</v>
      </c>
      <c r="I13" s="2">
        <v>1</v>
      </c>
      <c r="J13" s="2">
        <v>1</v>
      </c>
      <c r="K13" s="2" t="s">
        <v>101</v>
      </c>
      <c r="L13" s="2" t="s">
        <v>89</v>
      </c>
      <c r="M13" s="2" t="s">
        <v>89</v>
      </c>
      <c r="N13" s="2" t="s">
        <v>89</v>
      </c>
      <c r="O13" s="7" t="s">
        <v>48</v>
      </c>
    </row>
    <row r="14" spans="1:15" x14ac:dyDescent="0.3">
      <c r="A14" s="2">
        <v>13</v>
      </c>
      <c r="B14" s="2" t="s">
        <v>123</v>
      </c>
      <c r="C14" s="2" t="s">
        <v>28</v>
      </c>
      <c r="D14" s="2" t="s">
        <v>22</v>
      </c>
      <c r="E14" s="2" t="s">
        <v>49</v>
      </c>
      <c r="F14" s="2" t="s">
        <v>96</v>
      </c>
      <c r="G14" s="2">
        <v>4</v>
      </c>
      <c r="H14" s="2">
        <v>1</v>
      </c>
      <c r="I14" s="2">
        <v>1</v>
      </c>
      <c r="J14" s="2">
        <v>1</v>
      </c>
      <c r="K14" s="2" t="s">
        <v>11</v>
      </c>
      <c r="L14" s="2" t="s">
        <v>90</v>
      </c>
      <c r="M14" s="2" t="s">
        <v>90</v>
      </c>
      <c r="N14" s="2" t="s">
        <v>90</v>
      </c>
      <c r="O14" s="6" t="s">
        <v>50</v>
      </c>
    </row>
    <row r="15" spans="1:15" x14ac:dyDescent="0.3">
      <c r="A15" s="2">
        <v>14</v>
      </c>
      <c r="B15" s="2" t="s">
        <v>124</v>
      </c>
      <c r="C15" s="2" t="s">
        <v>25</v>
      </c>
      <c r="D15" s="2" t="s">
        <v>18</v>
      </c>
      <c r="E15" s="2" t="s">
        <v>51</v>
      </c>
      <c r="F15" s="2">
        <v>4</v>
      </c>
      <c r="G15" s="2">
        <v>0</v>
      </c>
      <c r="H15" s="2">
        <v>2</v>
      </c>
      <c r="I15" s="2">
        <v>1</v>
      </c>
      <c r="J15" s="2">
        <v>1</v>
      </c>
      <c r="K15" s="2" t="s">
        <v>93</v>
      </c>
      <c r="L15" s="2" t="s">
        <v>89</v>
      </c>
      <c r="M15" s="2" t="s">
        <v>90</v>
      </c>
      <c r="N15" s="2" t="s">
        <v>94</v>
      </c>
      <c r="O15" s="7" t="s">
        <v>52</v>
      </c>
    </row>
    <row r="16" spans="1:15" x14ac:dyDescent="0.3">
      <c r="A16" s="2">
        <v>15</v>
      </c>
      <c r="B16" s="2"/>
      <c r="C16" s="2" t="s">
        <v>31</v>
      </c>
      <c r="D16" s="2" t="s">
        <v>32</v>
      </c>
      <c r="E16" s="2" t="s">
        <v>33</v>
      </c>
      <c r="F16" s="2">
        <v>2</v>
      </c>
      <c r="G16" s="2">
        <v>0</v>
      </c>
      <c r="H16" s="2">
        <v>1</v>
      </c>
      <c r="I16" s="2">
        <v>0.5</v>
      </c>
      <c r="J16" s="2">
        <v>0.5</v>
      </c>
      <c r="K16" s="2" t="s">
        <v>13</v>
      </c>
      <c r="L16" s="2" t="s">
        <v>90</v>
      </c>
      <c r="M16" s="2" t="s">
        <v>90</v>
      </c>
      <c r="N16" s="2" t="s">
        <v>90</v>
      </c>
      <c r="O16" s="6" t="s">
        <v>53</v>
      </c>
    </row>
    <row r="17" spans="1:15" x14ac:dyDescent="0.3">
      <c r="A17" s="2">
        <v>16</v>
      </c>
      <c r="B17" s="2" t="s">
        <v>125</v>
      </c>
      <c r="C17" s="3">
        <v>43405</v>
      </c>
      <c r="D17" s="2" t="s">
        <v>18</v>
      </c>
      <c r="E17" s="2" t="s">
        <v>54</v>
      </c>
      <c r="F17" s="2" t="s">
        <v>102</v>
      </c>
      <c r="G17" s="2">
        <v>2</v>
      </c>
      <c r="H17" s="2">
        <v>1</v>
      </c>
      <c r="I17" s="2">
        <v>1</v>
      </c>
      <c r="J17" s="2">
        <v>1</v>
      </c>
      <c r="K17" s="2" t="s">
        <v>95</v>
      </c>
      <c r="L17" s="2" t="s">
        <v>89</v>
      </c>
      <c r="M17" s="2" t="s">
        <v>89</v>
      </c>
      <c r="N17" s="2" t="s">
        <v>89</v>
      </c>
      <c r="O17" s="7" t="s">
        <v>55</v>
      </c>
    </row>
    <row r="18" spans="1:15" x14ac:dyDescent="0.3">
      <c r="A18" s="2">
        <v>17</v>
      </c>
      <c r="B18" s="2" t="s">
        <v>126</v>
      </c>
      <c r="C18" s="2" t="s">
        <v>21</v>
      </c>
      <c r="D18" s="2" t="s">
        <v>37</v>
      </c>
      <c r="E18" s="2" t="s">
        <v>56</v>
      </c>
      <c r="F18" s="2">
        <v>8</v>
      </c>
      <c r="G18" s="2" t="s">
        <v>117</v>
      </c>
      <c r="H18" s="2">
        <v>1</v>
      </c>
      <c r="I18" s="2">
        <v>1</v>
      </c>
      <c r="J18" s="2">
        <v>1</v>
      </c>
      <c r="K18" s="2" t="s">
        <v>91</v>
      </c>
      <c r="L18" s="2" t="s">
        <v>90</v>
      </c>
      <c r="M18" s="2" t="s">
        <v>89</v>
      </c>
      <c r="N18" s="2" t="s">
        <v>89</v>
      </c>
      <c r="O18" s="6" t="s">
        <v>57</v>
      </c>
    </row>
    <row r="19" spans="1:15" x14ac:dyDescent="0.3">
      <c r="A19" s="2">
        <v>18</v>
      </c>
      <c r="B19" s="2"/>
      <c r="C19" s="2" t="s">
        <v>28</v>
      </c>
      <c r="D19" s="2" t="s">
        <v>22</v>
      </c>
      <c r="E19" s="2" t="s">
        <v>58</v>
      </c>
      <c r="F19" s="2" t="s">
        <v>100</v>
      </c>
      <c r="G19" s="2">
        <v>3</v>
      </c>
      <c r="H19" s="2">
        <v>1</v>
      </c>
      <c r="I19" s="2">
        <v>1</v>
      </c>
      <c r="J19" s="2">
        <v>1</v>
      </c>
      <c r="K19" s="2" t="s">
        <v>88</v>
      </c>
      <c r="L19" s="2" t="s">
        <v>89</v>
      </c>
      <c r="M19" s="2" t="s">
        <v>89</v>
      </c>
      <c r="N19" s="2" t="s">
        <v>89</v>
      </c>
      <c r="O19" s="7" t="s">
        <v>59</v>
      </c>
    </row>
    <row r="20" spans="1:15" x14ac:dyDescent="0.3">
      <c r="A20" s="2">
        <v>19</v>
      </c>
      <c r="B20" s="2" t="s">
        <v>127</v>
      </c>
      <c r="C20" s="2" t="s">
        <v>25</v>
      </c>
      <c r="D20" s="2" t="s">
        <v>18</v>
      </c>
      <c r="E20" s="2" t="s">
        <v>60</v>
      </c>
      <c r="F20" s="2">
        <v>3</v>
      </c>
      <c r="G20" s="2">
        <v>0</v>
      </c>
      <c r="H20" s="2">
        <v>1.5</v>
      </c>
      <c r="I20" s="2">
        <v>1</v>
      </c>
      <c r="J20" s="2">
        <v>0.5</v>
      </c>
      <c r="K20" s="2" t="s">
        <v>12</v>
      </c>
      <c r="L20" s="2" t="s">
        <v>90</v>
      </c>
      <c r="M20" s="2" t="s">
        <v>90</v>
      </c>
      <c r="N20" s="2" t="s">
        <v>90</v>
      </c>
      <c r="O20" s="6" t="s">
        <v>61</v>
      </c>
    </row>
    <row r="21" spans="1:15" x14ac:dyDescent="0.3">
      <c r="A21" s="2">
        <v>20</v>
      </c>
      <c r="B21" s="2" t="s">
        <v>129</v>
      </c>
      <c r="C21" s="2" t="s">
        <v>31</v>
      </c>
      <c r="D21" s="2" t="s">
        <v>32</v>
      </c>
      <c r="E21" s="2" t="s">
        <v>33</v>
      </c>
      <c r="F21" s="2">
        <v>4</v>
      </c>
      <c r="G21" s="2">
        <v>0</v>
      </c>
      <c r="H21" s="2">
        <v>2</v>
      </c>
      <c r="I21" s="2">
        <v>1</v>
      </c>
      <c r="J21" s="2">
        <v>1</v>
      </c>
      <c r="K21" s="2" t="s">
        <v>99</v>
      </c>
      <c r="L21" s="2" t="s">
        <v>89</v>
      </c>
      <c r="M21" s="2" t="s">
        <v>90</v>
      </c>
      <c r="N21" s="2" t="s">
        <v>94</v>
      </c>
      <c r="O21" s="7" t="s">
        <v>62</v>
      </c>
    </row>
    <row r="22" spans="1:15" x14ac:dyDescent="0.3">
      <c r="A22" s="2">
        <v>21</v>
      </c>
      <c r="B22" s="2" t="s">
        <v>130</v>
      </c>
      <c r="C22" s="3">
        <v>43405</v>
      </c>
      <c r="D22" s="2" t="s">
        <v>18</v>
      </c>
      <c r="E22" s="2" t="s">
        <v>63</v>
      </c>
      <c r="F22" s="2">
        <v>6</v>
      </c>
      <c r="G22" s="2">
        <v>2</v>
      </c>
      <c r="H22" s="2">
        <v>2</v>
      </c>
      <c r="I22" s="2">
        <v>1</v>
      </c>
      <c r="J22" s="2">
        <v>1</v>
      </c>
      <c r="K22" s="2" t="s">
        <v>95</v>
      </c>
      <c r="L22" s="2" t="s">
        <v>89</v>
      </c>
      <c r="M22" s="2" t="s">
        <v>89</v>
      </c>
      <c r="N22" s="2" t="s">
        <v>89</v>
      </c>
      <c r="O22" s="6" t="s">
        <v>64</v>
      </c>
    </row>
    <row r="23" spans="1:15" x14ac:dyDescent="0.3">
      <c r="A23" s="2">
        <v>22</v>
      </c>
      <c r="B23" s="2"/>
      <c r="C23" s="2" t="s">
        <v>21</v>
      </c>
      <c r="D23" s="2" t="s">
        <v>14</v>
      </c>
      <c r="E23" s="2" t="s">
        <v>65</v>
      </c>
      <c r="F23" s="2" t="s">
        <v>96</v>
      </c>
      <c r="G23" s="2">
        <v>4</v>
      </c>
      <c r="H23" s="2">
        <v>1</v>
      </c>
      <c r="I23" s="2">
        <v>1</v>
      </c>
      <c r="J23" s="2">
        <v>1</v>
      </c>
      <c r="K23" s="2" t="s">
        <v>97</v>
      </c>
      <c r="L23" s="2" t="s">
        <v>90</v>
      </c>
      <c r="M23" s="2" t="s">
        <v>90</v>
      </c>
      <c r="N23" s="2" t="s">
        <v>94</v>
      </c>
      <c r="O23" s="7" t="s">
        <v>66</v>
      </c>
    </row>
    <row r="24" spans="1:15" x14ac:dyDescent="0.3">
      <c r="A24" s="2">
        <v>23</v>
      </c>
      <c r="B24" s="2" t="s">
        <v>131</v>
      </c>
      <c r="C24" s="2" t="s">
        <v>28</v>
      </c>
      <c r="D24" s="2" t="s">
        <v>22</v>
      </c>
      <c r="E24" s="2" t="s">
        <v>67</v>
      </c>
      <c r="F24" s="2">
        <v>8</v>
      </c>
      <c r="G24" s="2">
        <v>5</v>
      </c>
      <c r="H24" s="2">
        <v>1</v>
      </c>
      <c r="I24" s="2">
        <v>1</v>
      </c>
      <c r="J24" s="2">
        <v>1</v>
      </c>
      <c r="K24" s="2" t="s">
        <v>91</v>
      </c>
      <c r="L24" s="2" t="s">
        <v>89</v>
      </c>
      <c r="M24" s="2" t="s">
        <v>89</v>
      </c>
      <c r="N24" s="2" t="s">
        <v>89</v>
      </c>
      <c r="O24" s="6" t="s">
        <v>34</v>
      </c>
    </row>
    <row r="25" spans="1:15" x14ac:dyDescent="0.3">
      <c r="A25" s="2">
        <v>24</v>
      </c>
      <c r="B25" s="2" t="s">
        <v>132</v>
      </c>
      <c r="C25" s="2" t="s">
        <v>25</v>
      </c>
      <c r="D25" s="2" t="s">
        <v>18</v>
      </c>
      <c r="E25" s="2" t="s">
        <v>68</v>
      </c>
      <c r="F25" s="2" t="s">
        <v>87</v>
      </c>
      <c r="G25" s="2">
        <v>0</v>
      </c>
      <c r="H25" s="2">
        <v>1</v>
      </c>
      <c r="I25" s="2">
        <v>0.5</v>
      </c>
      <c r="J25" s="2">
        <v>0.5</v>
      </c>
      <c r="K25" s="2" t="s">
        <v>12</v>
      </c>
      <c r="L25" s="2" t="s">
        <v>90</v>
      </c>
      <c r="M25" s="2" t="s">
        <v>90</v>
      </c>
      <c r="N25" s="2" t="s">
        <v>90</v>
      </c>
      <c r="O25" s="7" t="s">
        <v>69</v>
      </c>
    </row>
    <row r="26" spans="1:15" x14ac:dyDescent="0.3">
      <c r="A26" s="2">
        <v>25</v>
      </c>
      <c r="B26" s="2"/>
      <c r="C26" s="2" t="s">
        <v>31</v>
      </c>
      <c r="D26" s="2" t="s">
        <v>32</v>
      </c>
      <c r="E26" s="2" t="s">
        <v>33</v>
      </c>
      <c r="F26" s="2">
        <v>3</v>
      </c>
      <c r="G26" s="2">
        <v>0</v>
      </c>
      <c r="H26" s="2">
        <v>1.5</v>
      </c>
      <c r="I26" s="2">
        <v>0.5</v>
      </c>
      <c r="J26" s="2">
        <v>0.5</v>
      </c>
      <c r="K26" s="2" t="s">
        <v>13</v>
      </c>
      <c r="L26" s="2" t="s">
        <v>90</v>
      </c>
      <c r="M26" s="2" t="s">
        <v>90</v>
      </c>
      <c r="N26" s="2" t="s">
        <v>90</v>
      </c>
      <c r="O26" s="6" t="s">
        <v>70</v>
      </c>
    </row>
    <row r="27" spans="1:15" x14ac:dyDescent="0.3">
      <c r="A27" s="2">
        <v>26</v>
      </c>
      <c r="B27" s="2" t="s">
        <v>133</v>
      </c>
      <c r="C27" s="3">
        <v>43405</v>
      </c>
      <c r="D27" s="2" t="s">
        <v>18</v>
      </c>
      <c r="E27" s="2" t="s">
        <v>71</v>
      </c>
      <c r="F27" s="2" t="s">
        <v>102</v>
      </c>
      <c r="G27" s="2">
        <v>3</v>
      </c>
      <c r="H27" s="2">
        <v>1</v>
      </c>
      <c r="I27" s="2">
        <v>0.5</v>
      </c>
      <c r="J27" s="2">
        <v>0.5</v>
      </c>
      <c r="K27" s="2" t="s">
        <v>95</v>
      </c>
      <c r="L27" s="2" t="s">
        <v>89</v>
      </c>
      <c r="M27" s="2" t="s">
        <v>89</v>
      </c>
      <c r="N27" s="2" t="s">
        <v>89</v>
      </c>
      <c r="O27" s="7" t="s">
        <v>72</v>
      </c>
    </row>
    <row r="28" spans="1:15" x14ac:dyDescent="0.3">
      <c r="A28" s="2">
        <v>27</v>
      </c>
      <c r="B28" s="2" t="s">
        <v>134</v>
      </c>
      <c r="C28" s="2" t="s">
        <v>21</v>
      </c>
      <c r="D28" s="2" t="s">
        <v>37</v>
      </c>
      <c r="E28" s="2" t="s">
        <v>73</v>
      </c>
      <c r="F28" s="2">
        <v>9</v>
      </c>
      <c r="G28" s="2">
        <v>6</v>
      </c>
      <c r="H28" s="2">
        <v>1</v>
      </c>
      <c r="I28" s="2">
        <v>1</v>
      </c>
      <c r="J28" s="2">
        <v>1</v>
      </c>
      <c r="K28" s="2" t="s">
        <v>101</v>
      </c>
      <c r="L28" s="2" t="s">
        <v>89</v>
      </c>
      <c r="M28" s="2" t="s">
        <v>89</v>
      </c>
      <c r="N28" s="2" t="s">
        <v>89</v>
      </c>
      <c r="O28" s="6" t="s">
        <v>74</v>
      </c>
    </row>
    <row r="29" spans="1:15" x14ac:dyDescent="0.3">
      <c r="A29" s="2">
        <v>28</v>
      </c>
      <c r="B29" s="2"/>
      <c r="C29" s="2" t="s">
        <v>28</v>
      </c>
      <c r="D29" s="2" t="s">
        <v>22</v>
      </c>
      <c r="E29" s="2" t="s">
        <v>23</v>
      </c>
      <c r="F29" s="2">
        <v>7</v>
      </c>
      <c r="G29" s="2">
        <v>4</v>
      </c>
      <c r="H29" s="2">
        <v>1</v>
      </c>
      <c r="I29" s="2">
        <v>1</v>
      </c>
      <c r="J29" s="2">
        <v>1</v>
      </c>
      <c r="K29" s="2" t="s">
        <v>11</v>
      </c>
      <c r="L29" s="2" t="s">
        <v>90</v>
      </c>
      <c r="M29" s="2" t="s">
        <v>90</v>
      </c>
      <c r="N29" s="2" t="s">
        <v>90</v>
      </c>
      <c r="O29" s="7" t="s">
        <v>75</v>
      </c>
    </row>
    <row r="30" spans="1:15" x14ac:dyDescent="0.3">
      <c r="A30" s="2">
        <v>29</v>
      </c>
      <c r="B30" s="2" t="s">
        <v>135</v>
      </c>
      <c r="C30" s="2" t="s">
        <v>25</v>
      </c>
      <c r="D30" s="2" t="s">
        <v>18</v>
      </c>
      <c r="E30" s="2" t="s">
        <v>76</v>
      </c>
      <c r="F30" s="2">
        <v>4</v>
      </c>
      <c r="G30" s="2">
        <v>0</v>
      </c>
      <c r="H30" s="2">
        <v>2</v>
      </c>
      <c r="I30" s="2">
        <v>1</v>
      </c>
      <c r="J30" s="2">
        <v>1</v>
      </c>
      <c r="K30" s="2" t="s">
        <v>93</v>
      </c>
      <c r="L30" s="2" t="s">
        <v>89</v>
      </c>
      <c r="M30" s="2" t="s">
        <v>90</v>
      </c>
      <c r="N30" s="2" t="s">
        <v>94</v>
      </c>
      <c r="O30" s="6" t="s">
        <v>77</v>
      </c>
    </row>
    <row r="31" spans="1:15" x14ac:dyDescent="0.3">
      <c r="A31" s="2">
        <v>30</v>
      </c>
      <c r="B31" s="2" t="s">
        <v>136</v>
      </c>
      <c r="C31" s="2" t="s">
        <v>31</v>
      </c>
      <c r="D31" s="2" t="s">
        <v>32</v>
      </c>
      <c r="E31" s="2" t="s">
        <v>33</v>
      </c>
      <c r="F31" s="2" t="s">
        <v>87</v>
      </c>
      <c r="G31" s="2">
        <v>0</v>
      </c>
      <c r="H31" s="2">
        <v>1</v>
      </c>
      <c r="I31" s="2">
        <v>0.5</v>
      </c>
      <c r="J31" s="2">
        <v>0.5</v>
      </c>
      <c r="K31" s="2" t="s">
        <v>13</v>
      </c>
      <c r="L31" s="2" t="s">
        <v>90</v>
      </c>
      <c r="M31" s="2" t="s">
        <v>90</v>
      </c>
      <c r="N31" s="2" t="s">
        <v>90</v>
      </c>
      <c r="O31" s="7" t="s">
        <v>78</v>
      </c>
    </row>
    <row r="32" spans="1:15" x14ac:dyDescent="0.3">
      <c r="A32" s="2">
        <v>31</v>
      </c>
      <c r="B32" s="2" t="s">
        <v>137</v>
      </c>
      <c r="C32" s="3">
        <v>43405</v>
      </c>
      <c r="D32" s="2" t="s">
        <v>18</v>
      </c>
      <c r="E32" s="2" t="s">
        <v>79</v>
      </c>
      <c r="F32" s="2">
        <v>6</v>
      </c>
      <c r="G32" s="2">
        <v>3</v>
      </c>
      <c r="H32" s="2">
        <v>1</v>
      </c>
      <c r="I32" s="2">
        <v>1</v>
      </c>
      <c r="J32" s="2">
        <v>1</v>
      </c>
      <c r="K32" s="2" t="s">
        <v>95</v>
      </c>
      <c r="L32" s="2" t="s">
        <v>89</v>
      </c>
      <c r="M32" s="2" t="s">
        <v>89</v>
      </c>
      <c r="N32" s="2" t="s">
        <v>89</v>
      </c>
      <c r="O32" s="6" t="s">
        <v>80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817E-60D2-41C1-9E3E-CFF96EE5D8D1}">
  <dimension ref="A1:R43"/>
  <sheetViews>
    <sheetView tabSelected="1" zoomScale="70" zoomScaleNormal="70" workbookViewId="0">
      <selection activeCell="B2" sqref="B2"/>
    </sheetView>
  </sheetViews>
  <sheetFormatPr defaultRowHeight="14.4" x14ac:dyDescent="0.3"/>
  <cols>
    <col min="1" max="1" width="8.5546875" bestFit="1" customWidth="1"/>
    <col min="2" max="2" width="12.77734375" bestFit="1" customWidth="1"/>
    <col min="3" max="3" width="12.109375" bestFit="1" customWidth="1"/>
    <col min="4" max="4" width="14.77734375" bestFit="1" customWidth="1"/>
    <col min="5" max="5" width="25.21875" bestFit="1" customWidth="1"/>
    <col min="6" max="6" width="25" bestFit="1" customWidth="1"/>
    <col min="7" max="7" width="20.33203125" bestFit="1" customWidth="1"/>
    <col min="8" max="8" width="22.109375" bestFit="1" customWidth="1"/>
    <col min="9" max="9" width="20.6640625" bestFit="1" customWidth="1"/>
    <col min="10" max="10" width="16.33203125" bestFit="1" customWidth="1"/>
    <col min="11" max="11" width="11.21875" customWidth="1"/>
    <col min="12" max="12" width="11.77734375" customWidth="1"/>
    <col min="13" max="13" width="9.88671875" customWidth="1"/>
    <col min="14" max="14" width="12.109375" customWidth="1"/>
    <col min="15" max="15" width="29.88671875" bestFit="1" customWidth="1"/>
    <col min="16" max="16" width="29" customWidth="1"/>
    <col min="17" max="17" width="22.44140625" bestFit="1" customWidth="1"/>
    <col min="18" max="18" width="19.5546875" bestFit="1" customWidth="1"/>
  </cols>
  <sheetData>
    <row r="1" spans="1:18" ht="16.05" customHeight="1" x14ac:dyDescent="0.3">
      <c r="A1" s="11" t="s">
        <v>0</v>
      </c>
      <c r="B1" s="12" t="s">
        <v>128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139</v>
      </c>
      <c r="P1" s="12" t="s">
        <v>15</v>
      </c>
      <c r="Q1" s="12" t="s">
        <v>140</v>
      </c>
      <c r="R1" s="13" t="s">
        <v>16</v>
      </c>
    </row>
    <row r="2" spans="1:18" ht="16.05" customHeight="1" x14ac:dyDescent="0.3">
      <c r="A2" s="14">
        <v>1</v>
      </c>
      <c r="B2" s="8" t="str">
        <f>'raw data'!B2</f>
        <v>aayush</v>
      </c>
      <c r="C2" s="15" t="s">
        <v>17</v>
      </c>
      <c r="D2" s="8" t="s">
        <v>18</v>
      </c>
      <c r="E2" s="8" t="s">
        <v>19</v>
      </c>
      <c r="F2" s="8">
        <v>4</v>
      </c>
      <c r="G2" s="8">
        <v>1</v>
      </c>
      <c r="H2" s="8">
        <v>2</v>
      </c>
      <c r="I2" s="8">
        <v>1</v>
      </c>
      <c r="J2" s="8">
        <v>0</v>
      </c>
      <c r="K2" s="8">
        <v>1</v>
      </c>
      <c r="L2" s="8">
        <v>0</v>
      </c>
      <c r="M2" s="8">
        <v>1</v>
      </c>
      <c r="N2" s="8">
        <v>0</v>
      </c>
      <c r="O2" s="8">
        <v>1</v>
      </c>
      <c r="P2" s="8">
        <v>0</v>
      </c>
      <c r="Q2" s="8">
        <v>0</v>
      </c>
      <c r="R2" s="16" t="s">
        <v>20</v>
      </c>
    </row>
    <row r="3" spans="1:18" ht="16.05" customHeight="1" x14ac:dyDescent="0.3">
      <c r="A3" s="14">
        <v>2</v>
      </c>
      <c r="B3" s="8" t="s">
        <v>138</v>
      </c>
      <c r="C3" s="8" t="s">
        <v>21</v>
      </c>
      <c r="D3" s="8" t="s">
        <v>22</v>
      </c>
      <c r="E3" s="8" t="s">
        <v>23</v>
      </c>
      <c r="F3" s="8">
        <v>6</v>
      </c>
      <c r="G3" s="8">
        <v>3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0</v>
      </c>
      <c r="N3" s="8">
        <v>0</v>
      </c>
      <c r="O3" s="8">
        <v>0</v>
      </c>
      <c r="P3" s="8">
        <v>1</v>
      </c>
      <c r="Q3" s="8">
        <v>1</v>
      </c>
      <c r="R3" s="16" t="s">
        <v>24</v>
      </c>
    </row>
    <row r="4" spans="1:18" ht="16.05" customHeight="1" x14ac:dyDescent="0.3">
      <c r="A4" s="14">
        <v>3</v>
      </c>
      <c r="B4" s="8" t="str">
        <f>'raw data'!B4</f>
        <v>prateek</v>
      </c>
      <c r="C4" s="8" t="s">
        <v>25</v>
      </c>
      <c r="D4" s="8" t="s">
        <v>18</v>
      </c>
      <c r="E4" s="8" t="s">
        <v>26</v>
      </c>
      <c r="F4" s="8">
        <v>3</v>
      </c>
      <c r="G4" s="8">
        <v>0</v>
      </c>
      <c r="H4" s="8">
        <v>2</v>
      </c>
      <c r="I4" s="8">
        <v>0.5</v>
      </c>
      <c r="J4" s="8">
        <v>0.5</v>
      </c>
      <c r="K4" s="8">
        <v>0</v>
      </c>
      <c r="L4" s="8">
        <v>0</v>
      </c>
      <c r="M4" s="8">
        <v>1</v>
      </c>
      <c r="N4" s="8">
        <v>1</v>
      </c>
      <c r="O4" s="8">
        <v>1</v>
      </c>
      <c r="P4" s="8">
        <v>0</v>
      </c>
      <c r="Q4" s="8">
        <v>0.5</v>
      </c>
      <c r="R4" s="16" t="s">
        <v>27</v>
      </c>
    </row>
    <row r="5" spans="1:18" ht="16.05" customHeight="1" x14ac:dyDescent="0.3">
      <c r="A5" s="14">
        <v>4</v>
      </c>
      <c r="B5" s="8" t="str">
        <f>'raw data'!B5</f>
        <v>balwan singh</v>
      </c>
      <c r="C5" s="8" t="s">
        <v>28</v>
      </c>
      <c r="D5" s="8" t="s">
        <v>22</v>
      </c>
      <c r="E5" s="8" t="s">
        <v>29</v>
      </c>
      <c r="F5" s="8">
        <v>8</v>
      </c>
      <c r="G5" s="8">
        <v>5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0</v>
      </c>
      <c r="N5" s="8">
        <v>0</v>
      </c>
      <c r="O5" s="8">
        <v>1</v>
      </c>
      <c r="P5" s="8">
        <v>1</v>
      </c>
      <c r="Q5" s="8">
        <v>1</v>
      </c>
      <c r="R5" s="16" t="s">
        <v>30</v>
      </c>
    </row>
    <row r="6" spans="1:18" ht="16.05" customHeight="1" x14ac:dyDescent="0.3">
      <c r="A6" s="14">
        <v>5</v>
      </c>
      <c r="B6" s="8" t="str">
        <f>'raw data'!B6</f>
        <v>ramkumar</v>
      </c>
      <c r="C6" s="8" t="s">
        <v>31</v>
      </c>
      <c r="D6" s="8" t="s">
        <v>32</v>
      </c>
      <c r="E6" s="8" t="s">
        <v>33</v>
      </c>
      <c r="F6" s="8">
        <v>2</v>
      </c>
      <c r="G6" s="8">
        <v>0</v>
      </c>
      <c r="H6" s="8">
        <v>1</v>
      </c>
      <c r="I6" s="8">
        <v>0.5</v>
      </c>
      <c r="J6" s="8">
        <v>0.5</v>
      </c>
      <c r="K6" s="8">
        <v>0</v>
      </c>
      <c r="L6" s="8">
        <v>0</v>
      </c>
      <c r="M6" s="8">
        <v>0</v>
      </c>
      <c r="N6" s="8">
        <v>1</v>
      </c>
      <c r="O6" s="8">
        <v>0</v>
      </c>
      <c r="P6" s="8">
        <v>0</v>
      </c>
      <c r="Q6" s="8">
        <v>0</v>
      </c>
      <c r="R6" s="16" t="s">
        <v>34</v>
      </c>
    </row>
    <row r="7" spans="1:18" ht="16.05" customHeight="1" x14ac:dyDescent="0.3">
      <c r="A7" s="14">
        <v>6</v>
      </c>
      <c r="B7" s="8" t="str">
        <f>'raw data'!B7</f>
        <v>nidhi</v>
      </c>
      <c r="C7" s="15" t="s">
        <v>17</v>
      </c>
      <c r="D7" s="8" t="s">
        <v>18</v>
      </c>
      <c r="E7" s="8" t="s">
        <v>35</v>
      </c>
      <c r="F7" s="8">
        <v>5</v>
      </c>
      <c r="G7" s="8">
        <v>2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0</v>
      </c>
      <c r="N7" s="8">
        <v>0</v>
      </c>
      <c r="O7" s="8">
        <v>1</v>
      </c>
      <c r="P7" s="8">
        <v>1</v>
      </c>
      <c r="Q7" s="8">
        <v>1</v>
      </c>
      <c r="R7" s="16" t="s">
        <v>36</v>
      </c>
    </row>
    <row r="8" spans="1:18" ht="16.05" customHeight="1" x14ac:dyDescent="0.3">
      <c r="A8" s="14">
        <v>7</v>
      </c>
      <c r="B8" s="8" t="str">
        <f>'raw data'!B8</f>
        <v>Jagjeet</v>
      </c>
      <c r="C8" s="8" t="s">
        <v>21</v>
      </c>
      <c r="D8" s="8" t="s">
        <v>37</v>
      </c>
      <c r="E8" s="8" t="s">
        <v>38</v>
      </c>
      <c r="F8" s="8">
        <v>7</v>
      </c>
      <c r="G8" s="8">
        <v>4</v>
      </c>
      <c r="H8" s="8">
        <v>1</v>
      </c>
      <c r="I8" s="8">
        <v>1</v>
      </c>
      <c r="J8" s="8">
        <v>1</v>
      </c>
      <c r="K8" s="8">
        <v>0</v>
      </c>
      <c r="L8" s="8">
        <v>1</v>
      </c>
      <c r="M8" s="8">
        <v>1</v>
      </c>
      <c r="N8" s="8">
        <v>0</v>
      </c>
      <c r="O8" s="8">
        <v>0</v>
      </c>
      <c r="P8" s="8">
        <v>0</v>
      </c>
      <c r="Q8" s="8">
        <v>0.5</v>
      </c>
      <c r="R8" s="16" t="s">
        <v>39</v>
      </c>
    </row>
    <row r="9" spans="1:18" ht="16.05" customHeight="1" x14ac:dyDescent="0.3">
      <c r="A9" s="14">
        <v>8</v>
      </c>
      <c r="B9" s="8" t="str">
        <f>'raw data'!B9</f>
        <v>sunita</v>
      </c>
      <c r="C9" s="8" t="s">
        <v>28</v>
      </c>
      <c r="D9" s="8" t="s">
        <v>22</v>
      </c>
      <c r="E9" s="8" t="s">
        <v>40</v>
      </c>
      <c r="F9" s="8">
        <v>6</v>
      </c>
      <c r="G9" s="8">
        <v>2</v>
      </c>
      <c r="H9" s="8">
        <v>2</v>
      </c>
      <c r="I9" s="8">
        <v>1</v>
      </c>
      <c r="J9" s="8">
        <v>1</v>
      </c>
      <c r="K9" s="8">
        <v>1</v>
      </c>
      <c r="L9" s="8">
        <v>0</v>
      </c>
      <c r="M9" s="8">
        <v>0</v>
      </c>
      <c r="N9" s="8">
        <v>1</v>
      </c>
      <c r="O9" s="8">
        <v>1</v>
      </c>
      <c r="P9" s="8">
        <v>1</v>
      </c>
      <c r="Q9" s="8">
        <v>1</v>
      </c>
      <c r="R9" s="16" t="s">
        <v>41</v>
      </c>
    </row>
    <row r="10" spans="1:18" ht="16.05" customHeight="1" x14ac:dyDescent="0.3">
      <c r="A10" s="14">
        <v>9</v>
      </c>
      <c r="B10" s="8" t="str">
        <f>'raw data'!B10</f>
        <v>Naman</v>
      </c>
      <c r="C10" s="8" t="s">
        <v>25</v>
      </c>
      <c r="D10" s="8" t="s">
        <v>18</v>
      </c>
      <c r="E10" s="8" t="s">
        <v>42</v>
      </c>
      <c r="F10" s="8">
        <v>2</v>
      </c>
      <c r="G10" s="8">
        <v>0</v>
      </c>
      <c r="H10" s="8">
        <v>1</v>
      </c>
      <c r="I10" s="8">
        <v>0.5</v>
      </c>
      <c r="J10" s="8">
        <v>0.5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16" t="s">
        <v>43</v>
      </c>
    </row>
    <row r="11" spans="1:18" ht="16.05" customHeight="1" x14ac:dyDescent="0.3">
      <c r="A11" s="14">
        <v>10</v>
      </c>
      <c r="B11" s="8" t="str">
        <f>'raw data'!B11</f>
        <v>Ramsingh</v>
      </c>
      <c r="C11" s="8" t="s">
        <v>31</v>
      </c>
      <c r="D11" s="8" t="s">
        <v>32</v>
      </c>
      <c r="E11" s="8" t="s">
        <v>33</v>
      </c>
      <c r="F11" s="8">
        <v>3</v>
      </c>
      <c r="G11" s="8">
        <v>0</v>
      </c>
      <c r="H11" s="8">
        <v>2</v>
      </c>
      <c r="I11" s="8">
        <v>0.5</v>
      </c>
      <c r="J11" s="8">
        <v>0.5</v>
      </c>
      <c r="K11" s="8">
        <v>1</v>
      </c>
      <c r="L11" s="8">
        <v>0</v>
      </c>
      <c r="M11" s="8">
        <v>0</v>
      </c>
      <c r="N11" s="8">
        <v>1</v>
      </c>
      <c r="O11" s="8">
        <v>1</v>
      </c>
      <c r="P11" s="8">
        <v>0</v>
      </c>
      <c r="Q11" s="8">
        <v>0.5</v>
      </c>
      <c r="R11" s="16" t="s">
        <v>44</v>
      </c>
    </row>
    <row r="12" spans="1:18" ht="16.05" customHeight="1" x14ac:dyDescent="0.3">
      <c r="A12" s="14">
        <v>11</v>
      </c>
      <c r="B12" s="8" t="str">
        <f>'raw data'!B12</f>
        <v>nitin</v>
      </c>
      <c r="C12" s="15" t="s">
        <v>17</v>
      </c>
      <c r="D12" s="8" t="s">
        <v>18</v>
      </c>
      <c r="E12" s="8" t="s">
        <v>45</v>
      </c>
      <c r="F12" s="8">
        <v>6</v>
      </c>
      <c r="G12" s="8">
        <v>3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0</v>
      </c>
      <c r="N12" s="8">
        <v>0</v>
      </c>
      <c r="O12" s="8">
        <v>1</v>
      </c>
      <c r="P12" s="8">
        <v>1</v>
      </c>
      <c r="Q12" s="8">
        <v>1</v>
      </c>
      <c r="R12" s="16" t="s">
        <v>46</v>
      </c>
    </row>
    <row r="13" spans="1:18" ht="16.05" customHeight="1" x14ac:dyDescent="0.3">
      <c r="A13" s="14">
        <v>12</v>
      </c>
      <c r="B13" s="8" t="s">
        <v>138</v>
      </c>
      <c r="C13" s="8" t="s">
        <v>21</v>
      </c>
      <c r="D13" s="8" t="s">
        <v>14</v>
      </c>
      <c r="E13" s="8" t="s">
        <v>47</v>
      </c>
      <c r="F13" s="8">
        <v>9</v>
      </c>
      <c r="G13" s="8">
        <v>6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0</v>
      </c>
      <c r="O13" s="8">
        <v>1</v>
      </c>
      <c r="P13" s="8">
        <v>1</v>
      </c>
      <c r="Q13" s="8">
        <v>1</v>
      </c>
      <c r="R13" s="16" t="s">
        <v>48</v>
      </c>
    </row>
    <row r="14" spans="1:18" ht="16.05" customHeight="1" x14ac:dyDescent="0.3">
      <c r="A14" s="14">
        <v>13</v>
      </c>
      <c r="B14" s="8" t="str">
        <f>'raw data'!B14</f>
        <v>sumeer singh</v>
      </c>
      <c r="C14" s="8" t="s">
        <v>28</v>
      </c>
      <c r="D14" s="8" t="s">
        <v>22</v>
      </c>
      <c r="E14" s="8" t="s">
        <v>49</v>
      </c>
      <c r="F14" s="8">
        <v>7</v>
      </c>
      <c r="G14" s="8">
        <v>4</v>
      </c>
      <c r="H14" s="8">
        <v>1</v>
      </c>
      <c r="I14" s="8">
        <v>1</v>
      </c>
      <c r="J14" s="8">
        <v>1</v>
      </c>
      <c r="K14" s="8">
        <v>0</v>
      </c>
      <c r="L14" s="8">
        <v>1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16" t="s">
        <v>50</v>
      </c>
    </row>
    <row r="15" spans="1:18" ht="16.05" customHeight="1" x14ac:dyDescent="0.3">
      <c r="A15" s="14">
        <v>14</v>
      </c>
      <c r="B15" s="8" t="str">
        <f>'raw data'!B15</f>
        <v>Sanvi</v>
      </c>
      <c r="C15" s="8" t="s">
        <v>25</v>
      </c>
      <c r="D15" s="8" t="s">
        <v>18</v>
      </c>
      <c r="E15" s="8" t="s">
        <v>51</v>
      </c>
      <c r="F15" s="8">
        <v>4</v>
      </c>
      <c r="G15" s="8">
        <v>0</v>
      </c>
      <c r="H15" s="8">
        <v>2</v>
      </c>
      <c r="I15" s="8">
        <v>1</v>
      </c>
      <c r="J15" s="8">
        <v>1</v>
      </c>
      <c r="K15" s="8">
        <v>0</v>
      </c>
      <c r="L15" s="8">
        <v>0</v>
      </c>
      <c r="M15" s="8">
        <v>1</v>
      </c>
      <c r="N15" s="8">
        <v>1</v>
      </c>
      <c r="O15" s="8">
        <v>1</v>
      </c>
      <c r="P15" s="8">
        <v>0</v>
      </c>
      <c r="Q15" s="8">
        <v>0.5</v>
      </c>
      <c r="R15" s="16" t="s">
        <v>52</v>
      </c>
    </row>
    <row r="16" spans="1:18" ht="16.05" customHeight="1" x14ac:dyDescent="0.3">
      <c r="A16" s="14">
        <v>15</v>
      </c>
      <c r="B16" s="8" t="s">
        <v>138</v>
      </c>
      <c r="C16" s="8" t="s">
        <v>31</v>
      </c>
      <c r="D16" s="8" t="s">
        <v>32</v>
      </c>
      <c r="E16" s="8" t="s">
        <v>33</v>
      </c>
      <c r="F16" s="8">
        <v>2</v>
      </c>
      <c r="G16" s="8">
        <v>0</v>
      </c>
      <c r="H16" s="8">
        <v>1</v>
      </c>
      <c r="I16" s="8">
        <v>0.5</v>
      </c>
      <c r="J16" s="8">
        <v>0.5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0</v>
      </c>
      <c r="Q16" s="8">
        <v>0</v>
      </c>
      <c r="R16" s="16" t="s">
        <v>53</v>
      </c>
    </row>
    <row r="17" spans="1:18" ht="16.05" customHeight="1" x14ac:dyDescent="0.3">
      <c r="A17" s="14">
        <v>16</v>
      </c>
      <c r="B17" s="8" t="str">
        <f>'raw data'!B17</f>
        <v>yogesh</v>
      </c>
      <c r="C17" s="15" t="s">
        <v>17</v>
      </c>
      <c r="D17" s="8" t="s">
        <v>18</v>
      </c>
      <c r="E17" s="8" t="s">
        <v>54</v>
      </c>
      <c r="F17" s="8">
        <v>5</v>
      </c>
      <c r="G17" s="8">
        <v>2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0</v>
      </c>
      <c r="N17" s="8">
        <v>0</v>
      </c>
      <c r="O17" s="8">
        <v>1</v>
      </c>
      <c r="P17" s="8">
        <v>1</v>
      </c>
      <c r="Q17" s="8">
        <v>1</v>
      </c>
      <c r="R17" s="16" t="s">
        <v>55</v>
      </c>
    </row>
    <row r="18" spans="1:18" ht="16.05" customHeight="1" x14ac:dyDescent="0.3">
      <c r="A18" s="14">
        <v>17</v>
      </c>
      <c r="B18" s="8" t="str">
        <f>'raw data'!B18</f>
        <v>Nisha</v>
      </c>
      <c r="C18" s="8" t="s">
        <v>21</v>
      </c>
      <c r="D18" s="8" t="s">
        <v>37</v>
      </c>
      <c r="E18" s="8" t="s">
        <v>56</v>
      </c>
      <c r="F18" s="8">
        <v>8</v>
      </c>
      <c r="G18" s="8">
        <v>5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  <c r="M18" s="8">
        <v>0</v>
      </c>
      <c r="N18" s="8">
        <v>0</v>
      </c>
      <c r="O18" s="8">
        <v>0</v>
      </c>
      <c r="P18" s="8">
        <v>1</v>
      </c>
      <c r="Q18" s="8">
        <v>1</v>
      </c>
      <c r="R18" s="16" t="s">
        <v>57</v>
      </c>
    </row>
    <row r="19" spans="1:18" ht="16.05" customHeight="1" x14ac:dyDescent="0.3">
      <c r="A19" s="14">
        <v>18</v>
      </c>
      <c r="B19" s="8" t="s">
        <v>138</v>
      </c>
      <c r="C19" s="8" t="s">
        <v>28</v>
      </c>
      <c r="D19" s="8" t="s">
        <v>22</v>
      </c>
      <c r="E19" s="8" t="s">
        <v>58</v>
      </c>
      <c r="F19" s="8">
        <v>6</v>
      </c>
      <c r="G19" s="8">
        <v>3</v>
      </c>
      <c r="H19" s="8">
        <v>1</v>
      </c>
      <c r="I19" s="8">
        <v>1</v>
      </c>
      <c r="J19" s="8">
        <v>1</v>
      </c>
      <c r="K19" s="8">
        <v>1</v>
      </c>
      <c r="L19" s="8">
        <v>0</v>
      </c>
      <c r="M19" s="8">
        <v>1</v>
      </c>
      <c r="N19" s="8">
        <v>0</v>
      </c>
      <c r="O19" s="8">
        <v>1</v>
      </c>
      <c r="P19" s="8">
        <v>1</v>
      </c>
      <c r="Q19" s="8">
        <v>1</v>
      </c>
      <c r="R19" s="16" t="s">
        <v>59</v>
      </c>
    </row>
    <row r="20" spans="1:18" ht="16.05" customHeight="1" x14ac:dyDescent="0.3">
      <c r="A20" s="14">
        <v>19</v>
      </c>
      <c r="B20" s="8" t="str">
        <f>'raw data'!B20</f>
        <v>Nikita</v>
      </c>
      <c r="C20" s="8" t="s">
        <v>25</v>
      </c>
      <c r="D20" s="8" t="s">
        <v>18</v>
      </c>
      <c r="E20" s="8" t="s">
        <v>60</v>
      </c>
      <c r="F20" s="8">
        <v>3</v>
      </c>
      <c r="G20" s="8">
        <v>0</v>
      </c>
      <c r="H20" s="8">
        <v>1.5</v>
      </c>
      <c r="I20" s="8">
        <v>1</v>
      </c>
      <c r="J20" s="8">
        <v>0.5</v>
      </c>
      <c r="K20" s="8">
        <v>0</v>
      </c>
      <c r="L20" s="8">
        <v>0</v>
      </c>
      <c r="M20" s="8">
        <v>1</v>
      </c>
      <c r="N20" s="8">
        <v>0</v>
      </c>
      <c r="O20" s="8">
        <v>0</v>
      </c>
      <c r="P20" s="8">
        <v>0</v>
      </c>
      <c r="Q20" s="8">
        <v>0</v>
      </c>
      <c r="R20" s="16" t="s">
        <v>61</v>
      </c>
    </row>
    <row r="21" spans="1:18" ht="16.05" customHeight="1" x14ac:dyDescent="0.3">
      <c r="A21" s="14">
        <v>20</v>
      </c>
      <c r="B21" s="8" t="str">
        <f>'raw data'!B21</f>
        <v>rajveer singh</v>
      </c>
      <c r="C21" s="8" t="s">
        <v>31</v>
      </c>
      <c r="D21" s="8" t="s">
        <v>32</v>
      </c>
      <c r="E21" s="8" t="s">
        <v>33</v>
      </c>
      <c r="F21" s="8">
        <v>4</v>
      </c>
      <c r="G21" s="8">
        <v>0</v>
      </c>
      <c r="H21" s="8">
        <v>2</v>
      </c>
      <c r="I21" s="8">
        <v>1</v>
      </c>
      <c r="J21" s="8">
        <v>1</v>
      </c>
      <c r="K21" s="8">
        <v>1</v>
      </c>
      <c r="L21" s="8">
        <v>0</v>
      </c>
      <c r="M21" s="8">
        <v>0</v>
      </c>
      <c r="N21" s="8">
        <v>1</v>
      </c>
      <c r="O21" s="8">
        <v>1</v>
      </c>
      <c r="P21" s="8">
        <v>0</v>
      </c>
      <c r="Q21" s="8">
        <v>0.5</v>
      </c>
      <c r="R21" s="16" t="s">
        <v>62</v>
      </c>
    </row>
    <row r="22" spans="1:18" ht="16.05" customHeight="1" x14ac:dyDescent="0.3">
      <c r="A22" s="14">
        <v>21</v>
      </c>
      <c r="B22" s="8" t="str">
        <f>'raw data'!B22</f>
        <v>poonam</v>
      </c>
      <c r="C22" s="15" t="s">
        <v>17</v>
      </c>
      <c r="D22" s="8" t="s">
        <v>18</v>
      </c>
      <c r="E22" s="8" t="s">
        <v>63</v>
      </c>
      <c r="F22" s="8">
        <v>6</v>
      </c>
      <c r="G22" s="8">
        <v>2</v>
      </c>
      <c r="H22" s="8">
        <v>2</v>
      </c>
      <c r="I22" s="8">
        <v>1</v>
      </c>
      <c r="J22" s="8">
        <v>1</v>
      </c>
      <c r="K22" s="8">
        <v>1</v>
      </c>
      <c r="L22" s="8">
        <v>1</v>
      </c>
      <c r="M22" s="8">
        <v>0</v>
      </c>
      <c r="N22" s="8">
        <v>0</v>
      </c>
      <c r="O22" s="8">
        <v>1</v>
      </c>
      <c r="P22" s="8">
        <v>1</v>
      </c>
      <c r="Q22" s="8">
        <v>1</v>
      </c>
      <c r="R22" s="16" t="s">
        <v>64</v>
      </c>
    </row>
    <row r="23" spans="1:18" ht="16.05" customHeight="1" x14ac:dyDescent="0.3">
      <c r="A23" s="14">
        <v>22</v>
      </c>
      <c r="B23" s="8" t="s">
        <v>138</v>
      </c>
      <c r="C23" s="8" t="s">
        <v>21</v>
      </c>
      <c r="D23" s="8" t="s">
        <v>14</v>
      </c>
      <c r="E23" s="8" t="s">
        <v>65</v>
      </c>
      <c r="F23" s="8">
        <v>7</v>
      </c>
      <c r="G23" s="8">
        <v>4</v>
      </c>
      <c r="H23" s="8">
        <v>1</v>
      </c>
      <c r="I23" s="8">
        <v>1</v>
      </c>
      <c r="J23" s="8">
        <v>1</v>
      </c>
      <c r="K23" s="8">
        <v>0</v>
      </c>
      <c r="L23" s="8">
        <v>1</v>
      </c>
      <c r="M23" s="8">
        <v>1</v>
      </c>
      <c r="N23" s="8">
        <v>0</v>
      </c>
      <c r="O23" s="8">
        <v>0</v>
      </c>
      <c r="P23" s="8">
        <v>0</v>
      </c>
      <c r="Q23" s="8">
        <v>0.5</v>
      </c>
      <c r="R23" s="16" t="s">
        <v>66</v>
      </c>
    </row>
    <row r="24" spans="1:18" ht="16.05" customHeight="1" x14ac:dyDescent="0.3">
      <c r="A24" s="14">
        <v>23</v>
      </c>
      <c r="B24" s="8" t="str">
        <f>'raw data'!B24</f>
        <v>Deepak</v>
      </c>
      <c r="C24" s="8" t="s">
        <v>28</v>
      </c>
      <c r="D24" s="8" t="s">
        <v>22</v>
      </c>
      <c r="E24" s="8" t="s">
        <v>67</v>
      </c>
      <c r="F24" s="8">
        <v>8</v>
      </c>
      <c r="G24" s="8">
        <v>5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>
        <v>0</v>
      </c>
      <c r="N24" s="8">
        <v>0</v>
      </c>
      <c r="O24" s="8">
        <v>1</v>
      </c>
      <c r="P24" s="8">
        <v>1</v>
      </c>
      <c r="Q24" s="8">
        <v>1</v>
      </c>
      <c r="R24" s="16" t="s">
        <v>34</v>
      </c>
    </row>
    <row r="25" spans="1:18" ht="16.05" customHeight="1" x14ac:dyDescent="0.3">
      <c r="A25" s="14">
        <v>24</v>
      </c>
      <c r="B25" s="8" t="str">
        <f>'raw data'!B25</f>
        <v>Yogita</v>
      </c>
      <c r="C25" s="8" t="s">
        <v>25</v>
      </c>
      <c r="D25" s="8" t="s">
        <v>18</v>
      </c>
      <c r="E25" s="8" t="s">
        <v>68</v>
      </c>
      <c r="F25" s="8">
        <v>2</v>
      </c>
      <c r="G25" s="8">
        <v>0</v>
      </c>
      <c r="H25" s="8">
        <v>1</v>
      </c>
      <c r="I25" s="8">
        <v>0.5</v>
      </c>
      <c r="J25" s="8">
        <v>0.5</v>
      </c>
      <c r="K25" s="8">
        <v>0</v>
      </c>
      <c r="L25" s="8">
        <v>0</v>
      </c>
      <c r="M25" s="8">
        <v>1</v>
      </c>
      <c r="N25" s="8">
        <v>0</v>
      </c>
      <c r="O25" s="8">
        <v>0</v>
      </c>
      <c r="P25" s="8">
        <v>0</v>
      </c>
      <c r="Q25" s="8">
        <v>0</v>
      </c>
      <c r="R25" s="16" t="s">
        <v>69</v>
      </c>
    </row>
    <row r="26" spans="1:18" ht="16.05" customHeight="1" x14ac:dyDescent="0.3">
      <c r="A26" s="14">
        <v>25</v>
      </c>
      <c r="B26" s="8" t="s">
        <v>138</v>
      </c>
      <c r="C26" s="8" t="s">
        <v>31</v>
      </c>
      <c r="D26" s="8" t="s">
        <v>32</v>
      </c>
      <c r="E26" s="8" t="s">
        <v>33</v>
      </c>
      <c r="F26" s="8">
        <v>3</v>
      </c>
      <c r="G26" s="8">
        <v>0</v>
      </c>
      <c r="H26" s="8">
        <v>1.5</v>
      </c>
      <c r="I26" s="8">
        <v>0.5</v>
      </c>
      <c r="J26" s="8">
        <v>0.5</v>
      </c>
      <c r="K26" s="8">
        <v>0</v>
      </c>
      <c r="L26" s="8">
        <v>0</v>
      </c>
      <c r="M26" s="8">
        <v>0</v>
      </c>
      <c r="N26" s="8">
        <v>1</v>
      </c>
      <c r="O26" s="8">
        <v>0</v>
      </c>
      <c r="P26" s="8">
        <v>0</v>
      </c>
      <c r="Q26" s="8">
        <v>0</v>
      </c>
      <c r="R26" s="16" t="s">
        <v>70</v>
      </c>
    </row>
    <row r="27" spans="1:18" ht="16.05" customHeight="1" x14ac:dyDescent="0.3">
      <c r="A27" s="14">
        <v>26</v>
      </c>
      <c r="B27" s="8" t="str">
        <f>'raw data'!B27</f>
        <v>Sachin</v>
      </c>
      <c r="C27" s="15" t="s">
        <v>17</v>
      </c>
      <c r="D27" s="8" t="s">
        <v>18</v>
      </c>
      <c r="E27" s="8" t="s">
        <v>71</v>
      </c>
      <c r="F27" s="8">
        <v>5</v>
      </c>
      <c r="G27" s="8">
        <v>3</v>
      </c>
      <c r="H27" s="8">
        <v>1</v>
      </c>
      <c r="I27" s="8">
        <v>0.5</v>
      </c>
      <c r="J27" s="8">
        <v>0.5</v>
      </c>
      <c r="K27" s="8">
        <v>1</v>
      </c>
      <c r="L27" s="8">
        <v>1</v>
      </c>
      <c r="M27" s="8">
        <v>0</v>
      </c>
      <c r="N27" s="8">
        <v>0</v>
      </c>
      <c r="O27" s="8">
        <v>1</v>
      </c>
      <c r="P27" s="8">
        <v>1</v>
      </c>
      <c r="Q27" s="8">
        <v>1</v>
      </c>
      <c r="R27" s="16" t="s">
        <v>72</v>
      </c>
    </row>
    <row r="28" spans="1:18" ht="16.05" customHeight="1" x14ac:dyDescent="0.3">
      <c r="A28" s="14">
        <v>27</v>
      </c>
      <c r="B28" s="8" t="str">
        <f>'raw data'!B28</f>
        <v>Sahil</v>
      </c>
      <c r="C28" s="8" t="s">
        <v>21</v>
      </c>
      <c r="D28" s="8" t="s">
        <v>37</v>
      </c>
      <c r="E28" s="8" t="s">
        <v>73</v>
      </c>
      <c r="F28" s="8">
        <v>9</v>
      </c>
      <c r="G28" s="8">
        <v>6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0</v>
      </c>
      <c r="O28" s="8">
        <v>1</v>
      </c>
      <c r="P28" s="8">
        <v>1</v>
      </c>
      <c r="Q28" s="8">
        <v>1</v>
      </c>
      <c r="R28" s="16" t="s">
        <v>74</v>
      </c>
    </row>
    <row r="29" spans="1:18" ht="16.05" customHeight="1" x14ac:dyDescent="0.3">
      <c r="A29" s="14">
        <v>28</v>
      </c>
      <c r="B29" s="8" t="s">
        <v>138</v>
      </c>
      <c r="C29" s="8" t="s">
        <v>28</v>
      </c>
      <c r="D29" s="8" t="s">
        <v>22</v>
      </c>
      <c r="E29" s="8" t="s">
        <v>23</v>
      </c>
      <c r="F29" s="8">
        <v>7</v>
      </c>
      <c r="G29" s="8">
        <v>4</v>
      </c>
      <c r="H29" s="8">
        <v>1</v>
      </c>
      <c r="I29" s="8">
        <v>1</v>
      </c>
      <c r="J29" s="8">
        <v>1</v>
      </c>
      <c r="K29" s="8">
        <v>0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16" t="s">
        <v>75</v>
      </c>
    </row>
    <row r="30" spans="1:18" ht="16.05" customHeight="1" x14ac:dyDescent="0.3">
      <c r="A30" s="14">
        <v>29</v>
      </c>
      <c r="B30" s="8" t="str">
        <f>'raw data'!B30</f>
        <v>Nikhil</v>
      </c>
      <c r="C30" s="8" t="s">
        <v>25</v>
      </c>
      <c r="D30" s="8" t="s">
        <v>18</v>
      </c>
      <c r="E30" s="8" t="s">
        <v>76</v>
      </c>
      <c r="F30" s="8">
        <v>4</v>
      </c>
      <c r="G30" s="8">
        <v>0</v>
      </c>
      <c r="H30" s="8">
        <v>2</v>
      </c>
      <c r="I30" s="8">
        <v>1</v>
      </c>
      <c r="J30" s="8">
        <v>1</v>
      </c>
      <c r="K30" s="8">
        <v>0</v>
      </c>
      <c r="L30" s="8">
        <v>0</v>
      </c>
      <c r="M30" s="8">
        <v>1</v>
      </c>
      <c r="N30" s="8">
        <v>1</v>
      </c>
      <c r="O30" s="8">
        <v>1</v>
      </c>
      <c r="P30" s="8">
        <v>0</v>
      </c>
      <c r="Q30" s="8">
        <v>0.5</v>
      </c>
      <c r="R30" s="16" t="s">
        <v>77</v>
      </c>
    </row>
    <row r="31" spans="1:18" ht="16.05" customHeight="1" x14ac:dyDescent="0.3">
      <c r="A31" s="14">
        <v>30</v>
      </c>
      <c r="B31" s="8" t="str">
        <f>'raw data'!B31</f>
        <v>Santosh devi</v>
      </c>
      <c r="C31" s="8" t="s">
        <v>31</v>
      </c>
      <c r="D31" s="8" t="s">
        <v>32</v>
      </c>
      <c r="E31" s="8" t="s">
        <v>33</v>
      </c>
      <c r="F31" s="8">
        <v>2</v>
      </c>
      <c r="G31" s="8">
        <v>0</v>
      </c>
      <c r="H31" s="8">
        <v>1</v>
      </c>
      <c r="I31" s="8">
        <v>0.5</v>
      </c>
      <c r="J31" s="8">
        <v>0.5</v>
      </c>
      <c r="K31" s="8">
        <v>0</v>
      </c>
      <c r="L31" s="8">
        <v>0</v>
      </c>
      <c r="M31" s="8">
        <v>0</v>
      </c>
      <c r="N31" s="8">
        <v>1</v>
      </c>
      <c r="O31" s="8">
        <v>0</v>
      </c>
      <c r="P31" s="8">
        <v>0</v>
      </c>
      <c r="Q31" s="8">
        <v>0</v>
      </c>
      <c r="R31" s="16" t="s">
        <v>78</v>
      </c>
    </row>
    <row r="32" spans="1:18" ht="16.05" customHeight="1" x14ac:dyDescent="0.3">
      <c r="A32" s="17">
        <v>31</v>
      </c>
      <c r="B32" s="18" t="str">
        <f>'raw data'!B32</f>
        <v>Sanju</v>
      </c>
      <c r="C32" s="19" t="s">
        <v>17</v>
      </c>
      <c r="D32" s="18" t="s">
        <v>18</v>
      </c>
      <c r="E32" s="18" t="s">
        <v>79</v>
      </c>
      <c r="F32" s="18">
        <v>6</v>
      </c>
      <c r="G32" s="18">
        <v>3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0</v>
      </c>
      <c r="N32" s="18">
        <v>0</v>
      </c>
      <c r="O32" s="18">
        <v>1</v>
      </c>
      <c r="P32" s="18">
        <v>1</v>
      </c>
      <c r="Q32" s="18">
        <v>1</v>
      </c>
      <c r="R32" s="20" t="s">
        <v>80</v>
      </c>
    </row>
    <row r="38" spans="1:8" ht="16.05" customHeight="1" x14ac:dyDescent="0.3">
      <c r="A38" s="9" t="s">
        <v>142</v>
      </c>
      <c r="B38" s="9" t="s">
        <v>143</v>
      </c>
      <c r="D38" s="9" t="s">
        <v>145</v>
      </c>
      <c r="E38" s="9" t="s">
        <v>146</v>
      </c>
      <c r="G38" s="9" t="s">
        <v>148</v>
      </c>
      <c r="H38" s="9" t="s">
        <v>146</v>
      </c>
    </row>
    <row r="39" spans="1:8" ht="16.05" customHeight="1" x14ac:dyDescent="0.3">
      <c r="A39" s="8" t="s">
        <v>10</v>
      </c>
      <c r="B39" s="8">
        <f>SUM(_cleaned_data[Mobile])</f>
        <v>17</v>
      </c>
      <c r="D39" s="8" t="s">
        <v>147</v>
      </c>
      <c r="E39" s="8">
        <f>SUMIF(_cleaned_data[Age Group],"UNDER 10",_cleaned_data[Total Screen Time (hours)])</f>
        <v>18</v>
      </c>
      <c r="G39" s="8" t="s">
        <v>149</v>
      </c>
      <c r="H39" s="8">
        <f>SUM(_cleaned_data[Work/Study (hours)])</f>
        <v>67</v>
      </c>
    </row>
    <row r="40" spans="1:8" ht="16.05" customHeight="1" x14ac:dyDescent="0.3">
      <c r="A40" s="8" t="s">
        <v>11</v>
      </c>
      <c r="B40" s="8">
        <f>SUM(_cleaned_data[Laptop])</f>
        <v>16</v>
      </c>
      <c r="D40" s="10" t="s">
        <v>17</v>
      </c>
      <c r="E40" s="8">
        <f>SUMIF(_cleaned_data[Age Group],"11-18",_cleaned_data[Total Screen Time (hours)])</f>
        <v>37</v>
      </c>
      <c r="G40" s="8" t="s">
        <v>150</v>
      </c>
      <c r="H40" s="8">
        <f>SUM(_cleaned_data[Entertainment (hours)])</f>
        <v>40</v>
      </c>
    </row>
    <row r="41" spans="1:8" ht="16.05" customHeight="1" x14ac:dyDescent="0.3">
      <c r="A41" s="8" t="s">
        <v>12</v>
      </c>
      <c r="B41" s="8">
        <f>SUM(_cleaned_data[Tablet])</f>
        <v>12</v>
      </c>
      <c r="D41" s="8" t="s">
        <v>21</v>
      </c>
      <c r="E41" s="8">
        <f>SUMIF(_cleaned_data[Age Group],"19-30",_cleaned_data[Total Screen Time (hours)])</f>
        <v>46</v>
      </c>
      <c r="G41" s="8"/>
      <c r="H41" s="8"/>
    </row>
    <row r="42" spans="1:8" ht="16.05" customHeight="1" x14ac:dyDescent="0.3">
      <c r="A42" s="8" t="s">
        <v>144</v>
      </c>
      <c r="B42" s="8">
        <f>SUM(_cleaned_data[Smart TV])</f>
        <v>10</v>
      </c>
      <c r="D42" s="8" t="s">
        <v>28</v>
      </c>
      <c r="E42" s="8">
        <f>SUMIF(_cleaned_data[Age Group],"31-50",_cleaned_data[Total Screen Time (hours)])</f>
        <v>42</v>
      </c>
    </row>
    <row r="43" spans="1:8" ht="16.05" customHeight="1" x14ac:dyDescent="0.3">
      <c r="D43" s="8" t="s">
        <v>31</v>
      </c>
      <c r="E43" s="8">
        <f>SUMIF(_cleaned_data[Age Group],"51+",_cleaned_data[Total Screen Time (hours)])</f>
        <v>16</v>
      </c>
    </row>
  </sheetData>
  <phoneticPr fontId="3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3249-3237-4267-AC4B-73B85223F9D6}">
  <dimension ref="A1:G9"/>
  <sheetViews>
    <sheetView workbookViewId="0">
      <selection activeCell="A17" sqref="A17"/>
    </sheetView>
  </sheetViews>
  <sheetFormatPr defaultRowHeight="14.4" x14ac:dyDescent="0.3"/>
  <cols>
    <col min="1" max="1" width="38.33203125" bestFit="1" customWidth="1"/>
    <col min="2" max="7" width="13.33203125" bestFit="1" customWidth="1"/>
  </cols>
  <sheetData>
    <row r="1" spans="1:7" x14ac:dyDescent="0.3">
      <c r="A1" s="22" t="s">
        <v>104</v>
      </c>
      <c r="B1" s="25" t="s">
        <v>25</v>
      </c>
      <c r="C1" s="26" t="s">
        <v>17</v>
      </c>
      <c r="D1" s="25" t="s">
        <v>21</v>
      </c>
      <c r="E1" s="25" t="s">
        <v>28</v>
      </c>
      <c r="F1" s="25" t="s">
        <v>31</v>
      </c>
      <c r="G1" s="24" t="s">
        <v>105</v>
      </c>
    </row>
    <row r="2" spans="1:7" x14ac:dyDescent="0.3">
      <c r="A2" s="23" t="s">
        <v>106</v>
      </c>
      <c r="B2" s="21">
        <f>AVERAGEIFS('cleaned data'!$F$2:$F$32,'cleaned data'!$C$2:$C$32,B1)</f>
        <v>3</v>
      </c>
      <c r="C2" s="21">
        <f>AVERAGEIFS('cleaned data'!$F$2:$F$32,'cleaned data'!$C$2:$C$32,C1)</f>
        <v>5.2857142857142856</v>
      </c>
      <c r="D2" s="21">
        <f>AVERAGEIFS('cleaned data'!$F$2:$F$32,'cleaned data'!$C$2:$C$32,D1)</f>
        <v>7.666666666666667</v>
      </c>
      <c r="E2" s="21">
        <f>AVERAGEIFS('cleaned data'!$F$2:$F$32,'cleaned data'!$C$2:$C$32,E1)</f>
        <v>7</v>
      </c>
      <c r="F2" s="21">
        <f>AVERAGEIFS('cleaned data'!$F$2:$F$32,'cleaned data'!$C$2:$C$32,F1)</f>
        <v>2.6666666666666665</v>
      </c>
      <c r="G2" s="2">
        <f>AVERAGE(B2:F2)</f>
        <v>5.1238095238095243</v>
      </c>
    </row>
    <row r="3" spans="1:7" x14ac:dyDescent="0.3">
      <c r="A3" s="23" t="s">
        <v>107</v>
      </c>
      <c r="B3" s="2">
        <f>AVERAGEIFS('cleaned data'!$G$2:$G$32,'cleaned data'!$C$2:$C$32,B1)</f>
        <v>0</v>
      </c>
      <c r="C3" s="2">
        <f>AVERAGEIFS('cleaned data'!$G$2:$G$32,'cleaned data'!$C$2:$C$32,C1)</f>
        <v>2.2857142857142856</v>
      </c>
      <c r="D3" s="2">
        <f>AVERAGEIFS('cleaned data'!$G$2:$G$32,'cleaned data'!$C$2:$C$32,D1)</f>
        <v>4.666666666666667</v>
      </c>
      <c r="E3" s="2">
        <f>AVERAGEIFS('cleaned data'!$G$2:$G$32,'cleaned data'!$C$2:$C$32,E1)</f>
        <v>3.8333333333333335</v>
      </c>
      <c r="F3" s="2">
        <f>AVERAGEIFS('cleaned data'!$G$2:$G$32,'cleaned data'!$C$2:$C$32,F1)</f>
        <v>0</v>
      </c>
      <c r="G3" s="2">
        <f t="shared" ref="G3:G6" si="0">AVERAGE(B3:F3)</f>
        <v>2.1571428571428575</v>
      </c>
    </row>
    <row r="4" spans="1:7" x14ac:dyDescent="0.3">
      <c r="A4" s="23" t="s">
        <v>108</v>
      </c>
      <c r="B4" s="2">
        <f>AVERAGEIFS('cleaned data'!$H$2:$H$32,'cleaned data'!$C$2:$C$32,B1)</f>
        <v>1.5833333333333333</v>
      </c>
      <c r="C4" s="2">
        <f>AVERAGEIFS('cleaned data'!$H$2:$H$32,'cleaned data'!$C$2:$C$32,C1)</f>
        <v>1.2857142857142858</v>
      </c>
      <c r="D4" s="2">
        <f>AVERAGEIFS('cleaned data'!$H$2:$H$32,'cleaned data'!$C$2:$C$32,D1)</f>
        <v>1</v>
      </c>
      <c r="E4" s="2">
        <f>AVERAGEIFS('cleaned data'!$H$2:$H$32,'cleaned data'!$C$2:$C$32,E1)</f>
        <v>1.1666666666666667</v>
      </c>
      <c r="F4" s="2">
        <f>AVERAGEIFS('cleaned data'!$H$2:$H$32,'cleaned data'!$C$2:$C$32,F1)</f>
        <v>1.4166666666666667</v>
      </c>
      <c r="G4" s="2">
        <f t="shared" si="0"/>
        <v>1.2904761904761906</v>
      </c>
    </row>
    <row r="5" spans="1:7" x14ac:dyDescent="0.3">
      <c r="A5" s="23" t="s">
        <v>109</v>
      </c>
      <c r="B5" s="2">
        <f>COUNTIFS('cleaned data'!$O$2:$O$32,"1",'cleaned data'!$C$2:$C$32,B1)</f>
        <v>3</v>
      </c>
      <c r="C5" s="2">
        <f>COUNTIFS('cleaned data'!$O$2:$O$32,"1",'cleaned data'!$C$2:$C$32,C1)</f>
        <v>7</v>
      </c>
      <c r="D5" s="2">
        <f>COUNTIFS('cleaned data'!$O$2:$O$32,"1",'cleaned data'!$C$2:$C$32,D1)</f>
        <v>2</v>
      </c>
      <c r="E5" s="2">
        <f>COUNTIFS('cleaned data'!$O$2:$O$32,"1",'cleaned data'!$C$2:$C$32,E1)</f>
        <v>4</v>
      </c>
      <c r="F5" s="2">
        <f>COUNTIFS('cleaned data'!$O$2:$O$32,"1",'cleaned data'!$C$2:$C$32,F1)</f>
        <v>2</v>
      </c>
      <c r="G5" s="2">
        <f t="shared" si="0"/>
        <v>3.6</v>
      </c>
    </row>
    <row r="6" spans="1:7" x14ac:dyDescent="0.3">
      <c r="A6" s="23" t="s">
        <v>110</v>
      </c>
      <c r="B6" s="4">
        <f>COUNTIFS('cleaned data'!$Q$2:$Q$32,"1",'cleaned data'!$C$2:$C$32,B1)</f>
        <v>0</v>
      </c>
      <c r="C6" s="4">
        <f>COUNTIFS('cleaned data'!$Q$2:$Q$32,"1",'cleaned data'!$C$2:$C$32,C1)</f>
        <v>6</v>
      </c>
      <c r="D6" s="4">
        <f>COUNTIFS('cleaned data'!$Q$2:$Q$32,"1",'cleaned data'!$C$2:$C$32,D1)</f>
        <v>4</v>
      </c>
      <c r="E6" s="4">
        <f>COUNTIFS('cleaned data'!$Q$2:$Q$32,"1",'cleaned data'!$C$2:$C$32,E1)</f>
        <v>4</v>
      </c>
      <c r="F6" s="4">
        <f>COUNTIFS('cleaned data'!$Q$2:$Q$32,"1",'cleaned data'!$C$2:$C$32,F1)</f>
        <v>0</v>
      </c>
      <c r="G6" s="2">
        <f t="shared" si="0"/>
        <v>2.8</v>
      </c>
    </row>
    <row r="7" spans="1:7" ht="13.8" customHeight="1" x14ac:dyDescent="0.3"/>
    <row r="8" spans="1:7" ht="13.2" customHeight="1" x14ac:dyDescent="0.3"/>
    <row r="9" spans="1:7" ht="13.8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53CA5A-EF11-41E1-855B-763BF7927A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analysis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Poonia</dc:creator>
  <cp:lastModifiedBy>Ajay Poonia</cp:lastModifiedBy>
  <dcterms:created xsi:type="dcterms:W3CDTF">2025-12-19T09:42:49Z</dcterms:created>
  <dcterms:modified xsi:type="dcterms:W3CDTF">2025-12-23T08:03:07Z</dcterms:modified>
</cp:coreProperties>
</file>